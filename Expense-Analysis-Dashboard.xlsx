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505A3B8286548E55/"/>
    </mc:Choice>
  </mc:AlternateContent>
  <xr:revisionPtr revIDLastSave="560" documentId="13_ncr:1_{A4A854F1-D290-4D4B-A9C0-F732AB7355BB}" xr6:coauthVersionLast="47" xr6:coauthVersionMax="47" xr10:uidLastSave="{F89C4F32-1914-4688-AE19-2ABF28BFAC03}"/>
  <bookViews>
    <workbookView minimized="1" xWindow="0" yWindow="855" windowWidth="13110" windowHeight="7785" firstSheet="1" activeTab="3" xr2:uid="{00000000-000D-0000-FFFF-FFFF00000000}"/>
  </bookViews>
  <sheets>
    <sheet name="Sheet4" sheetId="4" r:id="rId1"/>
    <sheet name="Activity 1" sheetId="9" r:id="rId2"/>
    <sheet name="Activity 2" sheetId="6" r:id="rId3"/>
    <sheet name="Dashboard" sheetId="11" r:id="rId4"/>
    <sheet name="Activity 3" sheetId="7" r:id="rId5"/>
    <sheet name="Activity 4" sheetId="8" r:id="rId6"/>
    <sheet name="Sheet1" sheetId="10" r:id="rId7"/>
  </sheets>
  <definedNames>
    <definedName name="Slicer_Category">#N/A</definedName>
    <definedName name="Slicer_Month">#N/A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 r="C5" i="6"/>
  <c r="C6" i="6"/>
  <c r="C7" i="6"/>
  <c r="C8" i="6"/>
  <c r="C9" i="6"/>
  <c r="C10" i="6"/>
</calcChain>
</file>

<file path=xl/sharedStrings.xml><?xml version="1.0" encoding="utf-8"?>
<sst xmlns="http://schemas.openxmlformats.org/spreadsheetml/2006/main" count="370" uniqueCount="51">
  <si>
    <t>Expense Details for last 6 months</t>
  </si>
  <si>
    <t>Month</t>
  </si>
  <si>
    <t>Category</t>
  </si>
  <si>
    <t>Items</t>
  </si>
  <si>
    <t>Expense (INR)</t>
  </si>
  <si>
    <t>January</t>
  </si>
  <si>
    <t>Food</t>
  </si>
  <si>
    <t>Dining out</t>
  </si>
  <si>
    <t>Doctor and Medicine</t>
  </si>
  <si>
    <t>Mother's doctor visit</t>
  </si>
  <si>
    <r>
      <rPr>
        <b/>
        <i/>
        <sz val="10"/>
        <color rgb="FFFF0000"/>
        <rFont val="Verdana"/>
        <family val="2"/>
      </rPr>
      <t>Note:</t>
    </r>
    <r>
      <rPr>
        <i/>
        <sz val="10"/>
        <color rgb="FFFF0000"/>
        <rFont val="Verdana"/>
        <family val="2"/>
      </rPr>
      <t xml:space="preserve"> The category miscellaneous includes auto fare, mobile recharge, or any incidental expenses.</t>
    </r>
  </si>
  <si>
    <t>Mother's medicine</t>
  </si>
  <si>
    <t>Grocery</t>
  </si>
  <si>
    <t>Foodgrains and cereals</t>
  </si>
  <si>
    <t>Oil and spices</t>
  </si>
  <si>
    <t>Bread and bakery</t>
  </si>
  <si>
    <t>Vegetables</t>
  </si>
  <si>
    <t>Fruit</t>
  </si>
  <si>
    <t>Ticket and Bills</t>
  </si>
  <si>
    <t>Railway Monthly Ticket</t>
  </si>
  <si>
    <t>Shopping</t>
  </si>
  <si>
    <t>Shirts</t>
  </si>
  <si>
    <t>Gas</t>
  </si>
  <si>
    <t>Online Food order</t>
  </si>
  <si>
    <t>Chips and fries</t>
  </si>
  <si>
    <t>House help</t>
  </si>
  <si>
    <t>Electricity bill</t>
  </si>
  <si>
    <t>Entertainment</t>
  </si>
  <si>
    <t>Movie</t>
  </si>
  <si>
    <t>Miscellaneous</t>
  </si>
  <si>
    <t>February</t>
  </si>
  <si>
    <t>Snacks</t>
  </si>
  <si>
    <t>Beverages</t>
  </si>
  <si>
    <t>North Bengal Trip</t>
  </si>
  <si>
    <t>March</t>
  </si>
  <si>
    <t>Shoes</t>
  </si>
  <si>
    <t>April</t>
  </si>
  <si>
    <t>Outing with friends</t>
  </si>
  <si>
    <t>Brother's tution fee</t>
  </si>
  <si>
    <t>May</t>
  </si>
  <si>
    <t>June</t>
  </si>
  <si>
    <t>Tshirt and Jeans</t>
  </si>
  <si>
    <t>Sister's birthday gift</t>
  </si>
  <si>
    <t>Sum of Expense (INR)</t>
  </si>
  <si>
    <t>Grand Total</t>
  </si>
  <si>
    <t>(Multiple Items)</t>
  </si>
  <si>
    <t>Decide essential vs Less essential items and recommend how Nithin can increase savings.</t>
  </si>
  <si>
    <t>Essential Expenses</t>
  </si>
  <si>
    <t>Less Essential Expenses</t>
  </si>
  <si>
    <t>Dinning/Online orders</t>
  </si>
  <si>
    <t>Personal Expense Analysis Dashboard(6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</si>
</sst>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000000"/>
      <name val="Verdana"/>
      <family val="2"/>
    </font>
    <font>
      <sz val="10"/>
      <color rgb="FF000000"/>
      <name val="Verdana"/>
      <family val="2"/>
    </font>
    <font>
      <i/>
      <sz val="10"/>
      <color rgb="FFFF0000"/>
      <name val="Verdana"/>
      <family val="2"/>
    </font>
    <font>
      <b/>
      <i/>
      <sz val="10"/>
      <color rgb="FFFF0000"/>
      <name val="Verdana"/>
      <family val="2"/>
    </font>
    <font>
      <b/>
      <sz val="11"/>
      <color rgb="FFFF0000"/>
      <name val="Calibri"/>
      <family val="2"/>
      <scheme val="minor"/>
    </font>
    <font>
      <b/>
      <sz val="11"/>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0" fillId="0" borderId="0" xfId="0" pivotButton="1"/>
    <xf numFmtId="0" fontId="0" fillId="0" borderId="0" xfId="0" applyAlignment="1">
      <alignment wrapText="1"/>
    </xf>
    <xf numFmtId="0" fontId="6" fillId="0" borderId="0" xfId="0" applyFont="1"/>
    <xf numFmtId="0" fontId="0" fillId="4" borderId="0" xfId="0" applyFill="1"/>
    <xf numFmtId="0" fontId="7" fillId="5" borderId="0" xfId="0" applyFont="1" applyFill="1"/>
    <xf numFmtId="0" fontId="0" fillId="5" borderId="0" xfId="0" applyFill="1"/>
    <xf numFmtId="0" fontId="5" fillId="3" borderId="1" xfId="0" applyFont="1" applyFill="1" applyBorder="1" applyAlignment="1">
      <alignment horizontal="center" wrapText="1"/>
    </xf>
    <xf numFmtId="0" fontId="3" fillId="0" borderId="1" xfId="0" applyFont="1" applyBorder="1" applyAlignment="1">
      <alignment horizontal="center" vertical="center" wrapText="1"/>
    </xf>
    <xf numFmtId="0" fontId="0" fillId="0" borderId="0" xfId="0" applyNumberFormat="1"/>
    <xf numFmtId="0" fontId="0" fillId="4" borderId="0" xfId="0" applyFont="1" applyFill="1"/>
  </cellXfs>
  <cellStyles count="1">
    <cellStyle name="Normal" xfId="0" builtinId="0"/>
  </cellStyles>
  <dxfs count="20">
    <dxf>
      <font>
        <color theme="1"/>
      </font>
    </dxf>
    <dxf>
      <fill>
        <patternFill patternType="solid">
          <bgColor theme="3" tint="0.79998168889431442"/>
        </patternFill>
      </fill>
    </dxf>
    <dxf>
      <font>
        <color theme="1"/>
      </font>
    </dxf>
    <dxf>
      <fill>
        <patternFill patternType="solid">
          <bgColor theme="3" tint="0.79998168889431442"/>
        </patternFill>
      </fill>
    </dxf>
    <dxf>
      <font>
        <color theme="1"/>
      </font>
    </dxf>
    <dxf>
      <fill>
        <patternFill patternType="solid">
          <bgColor theme="3" tint="0.79998168889431442"/>
        </patternFill>
      </fill>
    </dxf>
    <dxf>
      <font>
        <color theme="1"/>
      </font>
    </dxf>
    <dxf>
      <fill>
        <patternFill patternType="solid">
          <bgColor theme="3" tint="0.79998168889431442"/>
        </patternFill>
      </fill>
    </dxf>
    <dxf>
      <font>
        <color theme="1"/>
      </font>
    </dxf>
    <dxf>
      <fill>
        <patternFill patternType="solid">
          <bgColor theme="3" tint="0.79998168889431442"/>
        </patternFill>
      </fill>
    </dxf>
    <dxf>
      <font>
        <color theme="1"/>
      </font>
    </dxf>
    <dxf>
      <fill>
        <patternFill patternType="solid">
          <bgColor theme="3" tint="0.79998168889431442"/>
        </patternFill>
      </fill>
    </dxf>
    <dxf>
      <font>
        <color theme="1"/>
      </font>
    </dxf>
    <dxf>
      <fill>
        <patternFill patternType="solid">
          <bgColor theme="3" tint="0.79998168889431442"/>
        </patternFill>
      </fill>
    </dxf>
    <dxf>
      <font>
        <color theme="1"/>
      </font>
    </dxf>
    <dxf>
      <fill>
        <patternFill patternType="solid">
          <bgColor theme="3" tint="0.79998168889431442"/>
        </patternFill>
      </fill>
    </dxf>
    <dxf>
      <font>
        <color theme="1"/>
      </font>
    </dxf>
    <dxf>
      <fill>
        <patternFill patternType="solid">
          <bgColor theme="3" tint="0.79998168889431442"/>
        </patternFill>
      </fill>
    </dxf>
    <dxf>
      <fill>
        <patternFill patternType="solid">
          <bgColor theme="3" tint="0.79998168889431442"/>
        </patternFill>
      </fill>
    </dxf>
    <dxf>
      <font>
        <color theme="1"/>
      </font>
    </dxf>
  </dxfs>
  <tableStyles count="0" defaultTableStyle="TableStyleMedium2" defaultPivotStyle="PivotStyleLight16"/>
  <colors>
    <mruColors>
      <color rgb="FFE96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1!PivotTable1</c:name>
    <c:fmtId val="7"/>
  </c:pivotSource>
  <c:chart>
    <c:title>
      <c:tx>
        <c:rich>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r>
              <a:rPr lang="en-US" sz="1200" baseline="0">
                <a:solidFill>
                  <a:schemeClr val="tx1"/>
                </a:solidFill>
                <a:latin typeface="Calibri" panose="020F0502020204030204" pitchFamily="34" charset="0"/>
              </a:rPr>
              <a:t>Month - wise Expenses</a:t>
            </a:r>
          </a:p>
        </c:rich>
      </c:tx>
      <c:layout>
        <c:manualLayout>
          <c:xMode val="edge"/>
          <c:yMode val="edge"/>
          <c:x val="0.21788958770090847"/>
          <c:y val="9.2592592592592587E-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87112145573"/>
          <c:y val="0.1804399970836979"/>
          <c:w val="0.89941288785442697"/>
          <c:h val="0.49984507144940216"/>
        </c:manualLayout>
      </c:layout>
      <c:barChart>
        <c:barDir val="col"/>
        <c:grouping val="clustered"/>
        <c:varyColors val="0"/>
        <c:ser>
          <c:idx val="0"/>
          <c:order val="0"/>
          <c:tx>
            <c:strRef>
              <c:f>'Activity 1'!$B$2</c:f>
              <c:strCache>
                <c:ptCount val="1"/>
                <c:pt idx="0">
                  <c:v>Total</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'Activity 1'!$A$3:$A$9</c:f>
              <c:strCache>
                <c:ptCount val="6"/>
                <c:pt idx="0">
                  <c:v>January</c:v>
                </c:pt>
                <c:pt idx="1">
                  <c:v>February</c:v>
                </c:pt>
                <c:pt idx="2">
                  <c:v>March</c:v>
                </c:pt>
                <c:pt idx="3">
                  <c:v>April</c:v>
                </c:pt>
                <c:pt idx="4">
                  <c:v>May</c:v>
                </c:pt>
                <c:pt idx="5">
                  <c:v>June</c:v>
                </c:pt>
              </c:strCache>
            </c:strRef>
          </c:cat>
          <c:val>
            <c:numRef>
              <c:f>'Activity 1'!$B$3:$B$9</c:f>
              <c:numCache>
                <c:formatCode>General</c:formatCode>
                <c:ptCount val="6"/>
                <c:pt idx="0">
                  <c:v>13900</c:v>
                </c:pt>
                <c:pt idx="1">
                  <c:v>15620</c:v>
                </c:pt>
                <c:pt idx="2">
                  <c:v>13140</c:v>
                </c:pt>
                <c:pt idx="3">
                  <c:v>14800</c:v>
                </c:pt>
                <c:pt idx="4">
                  <c:v>13370</c:v>
                </c:pt>
                <c:pt idx="5">
                  <c:v>13560</c:v>
                </c:pt>
              </c:numCache>
            </c:numRef>
          </c:val>
          <c:extLst>
            <c:ext xmlns:c16="http://schemas.microsoft.com/office/drawing/2014/chart" uri="{C3380CC4-5D6E-409C-BE32-E72D297353CC}">
              <c16:uniqueId val="{00000000-957A-48B3-B1B8-C7A2D103C509}"/>
            </c:ext>
          </c:extLst>
        </c:ser>
        <c:dLbls>
          <c:dLblPos val="inEnd"/>
          <c:showLegendKey val="0"/>
          <c:showVal val="1"/>
          <c:showCatName val="0"/>
          <c:showSerName val="0"/>
          <c:showPercent val="0"/>
          <c:showBubbleSize val="0"/>
        </c:dLbls>
        <c:gapWidth val="100"/>
        <c:overlap val="-24"/>
        <c:axId val="1803420168"/>
        <c:axId val="1803422216"/>
      </c:barChart>
      <c:catAx>
        <c:axId val="18034201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Months</a:t>
                </a:r>
              </a:p>
            </c:rich>
          </c:tx>
          <c:layout>
            <c:manualLayout>
              <c:xMode val="edge"/>
              <c:yMode val="edge"/>
              <c:x val="0.56812851449154678"/>
              <c:y val="0.82773921759152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22216"/>
        <c:crosses val="autoZero"/>
        <c:auto val="1"/>
        <c:lblAlgn val="ctr"/>
        <c:lblOffset val="100"/>
        <c:noMultiLvlLbl val="0"/>
      </c:catAx>
      <c:valAx>
        <c:axId val="1803422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Expenses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20168"/>
        <c:crosses val="autoZero"/>
        <c:crossBetween val="between"/>
      </c:valAx>
      <c:spPr>
        <a:noFill/>
        <a:ln>
          <a:noFill/>
        </a:ln>
        <a:effectLst/>
      </c:spPr>
    </c:plotArea>
    <c:legend>
      <c:legendPos val="b"/>
      <c:layout>
        <c:manualLayout>
          <c:xMode val="edge"/>
          <c:yMode val="edge"/>
          <c:x val="0.44731553582864231"/>
          <c:y val="0.81465122614586916"/>
          <c:w val="9.3418927862840978E-2"/>
          <c:h val="0.13673295304107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2!PivotTable2</c:name>
    <c:fmtId val="8"/>
  </c:pivotSource>
  <c:chart>
    <c:title>
      <c:tx>
        <c:rich>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r>
              <a:rPr lang="en-US" sz="1200" baseline="0">
                <a:solidFill>
                  <a:schemeClr val="tx1"/>
                </a:solidFill>
                <a:latin typeface="Calibri" panose="020F0502020204030204" pitchFamily="34" charset="0"/>
              </a:rPr>
              <a:t>Category-wise Expenses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'Activity 2'!$B$3</c:f>
              <c:strCache>
                <c:ptCount val="1"/>
                <c:pt idx="0">
                  <c:v>Total</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2'!$A$4:$A$11</c:f>
              <c:strCache>
                <c:ptCount val="7"/>
                <c:pt idx="0">
                  <c:v>Grocery</c:v>
                </c:pt>
                <c:pt idx="1">
                  <c:v>Ticket and Bills</c:v>
                </c:pt>
                <c:pt idx="2">
                  <c:v>Entertainment</c:v>
                </c:pt>
                <c:pt idx="3">
                  <c:v>Shopping</c:v>
                </c:pt>
                <c:pt idx="4">
                  <c:v>Miscellaneous</c:v>
                </c:pt>
                <c:pt idx="5">
                  <c:v>Food</c:v>
                </c:pt>
                <c:pt idx="6">
                  <c:v>Doctor and Medicine</c:v>
                </c:pt>
              </c:strCache>
            </c:strRef>
          </c:cat>
          <c:val>
            <c:numRef>
              <c:f>'Activity 2'!$B$4:$B$11</c:f>
              <c:numCache>
                <c:formatCode>General</c:formatCode>
                <c:ptCount val="7"/>
                <c:pt idx="0">
                  <c:v>30990</c:v>
                </c:pt>
                <c:pt idx="1">
                  <c:v>16040</c:v>
                </c:pt>
                <c:pt idx="2">
                  <c:v>12000</c:v>
                </c:pt>
                <c:pt idx="3">
                  <c:v>8700</c:v>
                </c:pt>
                <c:pt idx="4">
                  <c:v>7720</c:v>
                </c:pt>
                <c:pt idx="5">
                  <c:v>4940</c:v>
                </c:pt>
                <c:pt idx="6">
                  <c:v>4000</c:v>
                </c:pt>
              </c:numCache>
            </c:numRef>
          </c:val>
          <c:extLst>
            <c:ext xmlns:c16="http://schemas.microsoft.com/office/drawing/2014/chart" uri="{C3380CC4-5D6E-409C-BE32-E72D297353CC}">
              <c16:uniqueId val="{00000000-C663-483A-96C7-771E9E5787E2}"/>
            </c:ext>
          </c:extLst>
        </c:ser>
        <c:dLbls>
          <c:showLegendKey val="0"/>
          <c:showVal val="0"/>
          <c:showCatName val="0"/>
          <c:showSerName val="0"/>
          <c:showPercent val="0"/>
          <c:showBubbleSize val="0"/>
        </c:dLbls>
        <c:gapWidth val="115"/>
        <c:overlap val="-20"/>
        <c:axId val="1768894472"/>
        <c:axId val="1768896520"/>
      </c:barChart>
      <c:catAx>
        <c:axId val="1768894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96520"/>
        <c:crosses val="autoZero"/>
        <c:auto val="1"/>
        <c:lblAlgn val="ctr"/>
        <c:lblOffset val="100"/>
        <c:noMultiLvlLbl val="0"/>
      </c:catAx>
      <c:valAx>
        <c:axId val="1768896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894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3!PivotTable3</c:name>
    <c:fmtId val="6"/>
  </c:pivotSource>
  <c:chart>
    <c:title>
      <c:tx>
        <c:rich>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r>
              <a:rPr lang="en-US" sz="1200" baseline="0">
                <a:solidFill>
                  <a:schemeClr val="tx1"/>
                </a:solidFill>
                <a:latin typeface="Calibri" panose="020F0502020204030204" pitchFamily="34" charset="0"/>
              </a:rPr>
              <a:t>Top 2 Expense Categories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'Activity 3'!$B$2:$B$3</c:f>
              <c:strCache>
                <c:ptCount val="1"/>
                <c:pt idx="0">
                  <c:v>Grocery</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3'!$A$4:$A$10</c:f>
              <c:strCache>
                <c:ptCount val="6"/>
                <c:pt idx="0">
                  <c:v>January</c:v>
                </c:pt>
                <c:pt idx="1">
                  <c:v>February</c:v>
                </c:pt>
                <c:pt idx="2">
                  <c:v>March</c:v>
                </c:pt>
                <c:pt idx="3">
                  <c:v>April</c:v>
                </c:pt>
                <c:pt idx="4">
                  <c:v>May</c:v>
                </c:pt>
                <c:pt idx="5">
                  <c:v>June</c:v>
                </c:pt>
              </c:strCache>
            </c:strRef>
          </c:cat>
          <c:val>
            <c:numRef>
              <c:f>'Activity 3'!$B$4:$B$10</c:f>
              <c:numCache>
                <c:formatCode>General</c:formatCode>
                <c:ptCount val="6"/>
                <c:pt idx="0">
                  <c:v>4500</c:v>
                </c:pt>
                <c:pt idx="1">
                  <c:v>4300</c:v>
                </c:pt>
                <c:pt idx="2">
                  <c:v>6090</c:v>
                </c:pt>
                <c:pt idx="3">
                  <c:v>5460</c:v>
                </c:pt>
                <c:pt idx="4">
                  <c:v>5950</c:v>
                </c:pt>
                <c:pt idx="5">
                  <c:v>4690</c:v>
                </c:pt>
              </c:numCache>
            </c:numRef>
          </c:val>
          <c:extLst>
            <c:ext xmlns:c16="http://schemas.microsoft.com/office/drawing/2014/chart" uri="{C3380CC4-5D6E-409C-BE32-E72D297353CC}">
              <c16:uniqueId val="{00000000-FEBD-4631-AD94-1569D0B90D20}"/>
            </c:ext>
          </c:extLst>
        </c:ser>
        <c:ser>
          <c:idx val="1"/>
          <c:order val="1"/>
          <c:tx>
            <c:strRef>
              <c:f>'Activity 3'!$C$2:$C$3</c:f>
              <c:strCache>
                <c:ptCount val="1"/>
                <c:pt idx="0">
                  <c:v>Ticket and Bills</c:v>
                </c:pt>
              </c:strCache>
            </c:strRef>
          </c:tx>
          <c:spPr>
            <a:gradFill rotWithShape="1">
              <a:gsLst>
                <a:gs pos="0">
                  <a:srgbClr val="E3008C">
                    <a:satMod val="103000"/>
                    <a:lumMod val="102000"/>
                    <a:tint val="94000"/>
                  </a:srgbClr>
                </a:gs>
                <a:gs pos="50000">
                  <a:srgbClr val="E3008C">
                    <a:satMod val="110000"/>
                    <a:lumMod val="100000"/>
                    <a:shade val="100000"/>
                  </a:srgbClr>
                </a:gs>
                <a:gs pos="100000">
                  <a:srgbClr val="E3008C">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3'!$A$4:$A$10</c:f>
              <c:strCache>
                <c:ptCount val="6"/>
                <c:pt idx="0">
                  <c:v>January</c:v>
                </c:pt>
                <c:pt idx="1">
                  <c:v>February</c:v>
                </c:pt>
                <c:pt idx="2">
                  <c:v>March</c:v>
                </c:pt>
                <c:pt idx="3">
                  <c:v>April</c:v>
                </c:pt>
                <c:pt idx="4">
                  <c:v>May</c:v>
                </c:pt>
                <c:pt idx="5">
                  <c:v>June</c:v>
                </c:pt>
              </c:strCache>
            </c:strRef>
          </c:cat>
          <c:val>
            <c:numRef>
              <c:f>'Activity 3'!$C$4:$C$10</c:f>
              <c:numCache>
                <c:formatCode>General</c:formatCode>
                <c:ptCount val="6"/>
                <c:pt idx="0">
                  <c:v>2650</c:v>
                </c:pt>
                <c:pt idx="1">
                  <c:v>2650</c:v>
                </c:pt>
                <c:pt idx="2">
                  <c:v>2750</c:v>
                </c:pt>
                <c:pt idx="3">
                  <c:v>2750</c:v>
                </c:pt>
                <c:pt idx="4">
                  <c:v>2670</c:v>
                </c:pt>
                <c:pt idx="5">
                  <c:v>2570</c:v>
                </c:pt>
              </c:numCache>
            </c:numRef>
          </c:val>
          <c:extLst>
            <c:ext xmlns:c16="http://schemas.microsoft.com/office/drawing/2014/chart" uri="{C3380CC4-5D6E-409C-BE32-E72D297353CC}">
              <c16:uniqueId val="{00000001-FEBD-4631-AD94-1569D0B90D20}"/>
            </c:ext>
          </c:extLst>
        </c:ser>
        <c:dLbls>
          <c:showLegendKey val="0"/>
          <c:showVal val="0"/>
          <c:showCatName val="0"/>
          <c:showSerName val="0"/>
          <c:showPercent val="0"/>
          <c:showBubbleSize val="0"/>
        </c:dLbls>
        <c:gapWidth val="115"/>
        <c:overlap val="-20"/>
        <c:axId val="1934294024"/>
        <c:axId val="1075057672"/>
      </c:barChart>
      <c:valAx>
        <c:axId val="1075057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294024"/>
        <c:crosses val="autoZero"/>
        <c:crossBetween val="between"/>
      </c:valAx>
      <c:catAx>
        <c:axId val="19342940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0576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details for 6 months (7).xlsx]Activity 4!PivotTable4</c:name>
    <c:fmtId val="8"/>
  </c:pivotSource>
  <c:chart>
    <c:title>
      <c:tx>
        <c:rich>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r>
              <a:rPr lang="en-US" sz="1200" baseline="0">
                <a:solidFill>
                  <a:schemeClr val="tx1"/>
                </a:solidFill>
                <a:latin typeface="Calibri" panose="020F0502020204030204" pitchFamily="34" charset="0"/>
              </a:rPr>
              <a:t>Item-wise Monthly Spending</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'Activity 4'!$B$3:$B$4</c:f>
              <c:strCache>
                <c:ptCount val="1"/>
                <c:pt idx="0">
                  <c:v>Dining out</c:v>
                </c:pt>
              </c:strCache>
            </c:strRef>
          </c:tx>
          <c:spPr>
            <a:gradFill rotWithShape="1">
              <a:gsLst>
                <a:gs pos="0">
                  <a:srgbClr val="637CEF">
                    <a:satMod val="103000"/>
                    <a:lumMod val="102000"/>
                    <a:tint val="94000"/>
                  </a:srgbClr>
                </a:gs>
                <a:gs pos="50000">
                  <a:srgbClr val="637CEF">
                    <a:satMod val="110000"/>
                    <a:lumMod val="100000"/>
                    <a:shade val="100000"/>
                  </a:srgbClr>
                </a:gs>
                <a:gs pos="100000">
                  <a:srgbClr val="637CEF">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4'!$B$5:$B$10</c:f>
              <c:numCache>
                <c:formatCode>General</c:formatCode>
                <c:ptCount val="5"/>
                <c:pt idx="0">
                  <c:v>1000</c:v>
                </c:pt>
                <c:pt idx="1">
                  <c:v>800</c:v>
                </c:pt>
                <c:pt idx="2">
                  <c:v>850</c:v>
                </c:pt>
              </c:numCache>
            </c:numRef>
          </c:val>
          <c:extLst>
            <c:ext xmlns:c16="http://schemas.microsoft.com/office/drawing/2014/chart" uri="{C3380CC4-5D6E-409C-BE32-E72D297353CC}">
              <c16:uniqueId val="{00000000-98EC-4489-A0B3-FD620D26C679}"/>
            </c:ext>
          </c:extLst>
        </c:ser>
        <c:ser>
          <c:idx val="1"/>
          <c:order val="1"/>
          <c:tx>
            <c:strRef>
              <c:f>'Activity 4'!$C$3:$C$4</c:f>
              <c:strCache>
                <c:ptCount val="1"/>
                <c:pt idx="0">
                  <c:v>Movie</c:v>
                </c:pt>
              </c:strCache>
            </c:strRef>
          </c:tx>
          <c:spPr>
            <a:gradFill rotWithShape="1">
              <a:gsLst>
                <a:gs pos="0">
                  <a:srgbClr val="E3008C">
                    <a:satMod val="103000"/>
                    <a:lumMod val="102000"/>
                    <a:tint val="94000"/>
                  </a:srgbClr>
                </a:gs>
                <a:gs pos="50000">
                  <a:srgbClr val="E3008C">
                    <a:satMod val="110000"/>
                    <a:lumMod val="100000"/>
                    <a:shade val="100000"/>
                  </a:srgbClr>
                </a:gs>
                <a:gs pos="100000">
                  <a:srgbClr val="E3008C">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4'!$C$5:$C$10</c:f>
              <c:numCache>
                <c:formatCode>General</c:formatCode>
                <c:ptCount val="5"/>
                <c:pt idx="0">
                  <c:v>250</c:v>
                </c:pt>
                <c:pt idx="1">
                  <c:v>500</c:v>
                </c:pt>
                <c:pt idx="2">
                  <c:v>250</c:v>
                </c:pt>
                <c:pt idx="3">
                  <c:v>500</c:v>
                </c:pt>
                <c:pt idx="4">
                  <c:v>1000</c:v>
                </c:pt>
              </c:numCache>
            </c:numRef>
          </c:val>
          <c:extLst>
            <c:ext xmlns:c16="http://schemas.microsoft.com/office/drawing/2014/chart" uri="{C3380CC4-5D6E-409C-BE32-E72D297353CC}">
              <c16:uniqueId val="{00000001-98EC-4489-A0B3-FD620D26C679}"/>
            </c:ext>
          </c:extLst>
        </c:ser>
        <c:ser>
          <c:idx val="2"/>
          <c:order val="2"/>
          <c:tx>
            <c:strRef>
              <c:f>'Activity 4'!$D$3:$D$4</c:f>
              <c:strCache>
                <c:ptCount val="1"/>
                <c:pt idx="0">
                  <c:v>Online Food order</c:v>
                </c:pt>
              </c:strCache>
            </c:strRef>
          </c:tx>
          <c:spPr>
            <a:gradFill rotWithShape="1">
              <a:gsLst>
                <a:gs pos="0">
                  <a:srgbClr val="2AA0A4">
                    <a:satMod val="103000"/>
                    <a:lumMod val="102000"/>
                    <a:tint val="94000"/>
                  </a:srgbClr>
                </a:gs>
                <a:gs pos="50000">
                  <a:srgbClr val="2AA0A4">
                    <a:satMod val="110000"/>
                    <a:lumMod val="100000"/>
                    <a:shade val="100000"/>
                  </a:srgbClr>
                </a:gs>
                <a:gs pos="100000">
                  <a:srgbClr val="2AA0A4">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4'!$D$5:$D$10</c:f>
              <c:numCache>
                <c:formatCode>General</c:formatCode>
                <c:ptCount val="5"/>
                <c:pt idx="0">
                  <c:v>640</c:v>
                </c:pt>
                <c:pt idx="2">
                  <c:v>540</c:v>
                </c:pt>
                <c:pt idx="4">
                  <c:v>600</c:v>
                </c:pt>
              </c:numCache>
            </c:numRef>
          </c:val>
          <c:extLst>
            <c:ext xmlns:c16="http://schemas.microsoft.com/office/drawing/2014/chart" uri="{C3380CC4-5D6E-409C-BE32-E72D297353CC}">
              <c16:uniqueId val="{00000002-98EC-4489-A0B3-FD620D26C679}"/>
            </c:ext>
          </c:extLst>
        </c:ser>
        <c:ser>
          <c:idx val="3"/>
          <c:order val="3"/>
          <c:tx>
            <c:strRef>
              <c:f>'Activity 4'!$E$3:$E$4</c:f>
              <c:strCache>
                <c:ptCount val="1"/>
                <c:pt idx="0">
                  <c:v>Shirts</c:v>
                </c:pt>
              </c:strCache>
            </c:strRef>
          </c:tx>
          <c:spPr>
            <a:gradFill rotWithShape="1">
              <a:gsLst>
                <a:gs pos="0">
                  <a:srgbClr val="9373C0">
                    <a:satMod val="103000"/>
                    <a:lumMod val="102000"/>
                    <a:tint val="94000"/>
                  </a:srgbClr>
                </a:gs>
                <a:gs pos="50000">
                  <a:srgbClr val="9373C0">
                    <a:satMod val="110000"/>
                    <a:lumMod val="100000"/>
                    <a:shade val="100000"/>
                  </a:srgbClr>
                </a:gs>
                <a:gs pos="100000">
                  <a:srgbClr val="9373C0">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4'!$E$5:$E$10</c:f>
              <c:numCache>
                <c:formatCode>General</c:formatCode>
                <c:ptCount val="5"/>
                <c:pt idx="0">
                  <c:v>2000</c:v>
                </c:pt>
                <c:pt idx="3">
                  <c:v>1500</c:v>
                </c:pt>
              </c:numCache>
            </c:numRef>
          </c:val>
          <c:extLst>
            <c:ext xmlns:c16="http://schemas.microsoft.com/office/drawing/2014/chart" uri="{C3380CC4-5D6E-409C-BE32-E72D297353CC}">
              <c16:uniqueId val="{00000003-98EC-4489-A0B3-FD620D26C679}"/>
            </c:ext>
          </c:extLst>
        </c:ser>
        <c:ser>
          <c:idx val="4"/>
          <c:order val="4"/>
          <c:tx>
            <c:strRef>
              <c:f>'Activity 4'!$F$3:$F$4</c:f>
              <c:strCache>
                <c:ptCount val="1"/>
                <c:pt idx="0">
                  <c:v>Shoes</c:v>
                </c:pt>
              </c:strCache>
            </c:strRef>
          </c:tx>
          <c:spPr>
            <a:gradFill rotWithShape="1">
              <a:gsLst>
                <a:gs pos="0">
                  <a:srgbClr val="13A10E">
                    <a:satMod val="103000"/>
                    <a:lumMod val="102000"/>
                    <a:tint val="94000"/>
                  </a:srgbClr>
                </a:gs>
                <a:gs pos="50000">
                  <a:srgbClr val="13A10E">
                    <a:satMod val="110000"/>
                    <a:lumMod val="100000"/>
                    <a:shade val="100000"/>
                  </a:srgbClr>
                </a:gs>
                <a:gs pos="100000">
                  <a:srgbClr val="13A10E">
                    <a:lumMod val="99000"/>
                    <a:satMod val="120000"/>
                    <a:shade val="78000"/>
                  </a:srgbClr>
                </a:gs>
              </a:gsLst>
              <a:lin ang="5400000" scaled="0"/>
            </a:gradFill>
            <a:ln>
              <a:noFill/>
            </a:ln>
            <a:effectLst>
              <a:outerShdw blurRad="57150" dist="19050" dir="5400000" algn="ctr" rotWithShape="0">
                <a:srgbClr val="000000">
                  <a:alpha val="63000"/>
                </a:srgbClr>
              </a:outerShdw>
            </a:effectLst>
          </c:spPr>
          <c:invertIfNegative val="0"/>
          <c:cat>
            <c:strRef>
              <c:f>'Activity 4'!$A$5:$A$10</c:f>
              <c:strCache>
                <c:ptCount val="5"/>
                <c:pt idx="0">
                  <c:v>January</c:v>
                </c:pt>
                <c:pt idx="1">
                  <c:v>March</c:v>
                </c:pt>
                <c:pt idx="2">
                  <c:v>April</c:v>
                </c:pt>
                <c:pt idx="3">
                  <c:v>May</c:v>
                </c:pt>
                <c:pt idx="4">
                  <c:v>June</c:v>
                </c:pt>
              </c:strCache>
            </c:strRef>
          </c:cat>
          <c:val>
            <c:numRef>
              <c:f>'Activity 4'!$F$5:$F$10</c:f>
              <c:numCache>
                <c:formatCode>General</c:formatCode>
                <c:ptCount val="5"/>
                <c:pt idx="1">
                  <c:v>1700</c:v>
                </c:pt>
                <c:pt idx="4">
                  <c:v>1000</c:v>
                </c:pt>
              </c:numCache>
            </c:numRef>
          </c:val>
          <c:extLst>
            <c:ext xmlns:c16="http://schemas.microsoft.com/office/drawing/2014/chart" uri="{C3380CC4-5D6E-409C-BE32-E72D297353CC}">
              <c16:uniqueId val="{00000004-98EC-4489-A0B3-FD620D26C679}"/>
            </c:ext>
          </c:extLst>
        </c:ser>
        <c:dLbls>
          <c:showLegendKey val="0"/>
          <c:showVal val="0"/>
          <c:showCatName val="0"/>
          <c:showSerName val="0"/>
          <c:showPercent val="0"/>
          <c:showBubbleSize val="0"/>
        </c:dLbls>
        <c:gapWidth val="100"/>
        <c:overlap val="-24"/>
        <c:axId val="1285047303"/>
        <c:axId val="1285049863"/>
      </c:barChart>
      <c:catAx>
        <c:axId val="1285047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49863"/>
        <c:crosses val="autoZero"/>
        <c:auto val="1"/>
        <c:lblAlgn val="ctr"/>
        <c:lblOffset val="100"/>
        <c:noMultiLvlLbl val="0"/>
      </c:catAx>
      <c:valAx>
        <c:axId val="1285049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47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209550</xdr:colOff>
      <xdr:row>2</xdr:row>
      <xdr:rowOff>38100</xdr:rowOff>
    </xdr:from>
    <xdr:to>
      <xdr:col>8</xdr:col>
      <xdr:colOff>209550</xdr:colOff>
      <xdr:row>15</xdr:row>
      <xdr:rowOff>85725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D9B67D11-3D61-49E2-7CF3-15AA7C7F2D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781550" y="419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257175</xdr:colOff>
      <xdr:row>2</xdr:row>
      <xdr:rowOff>38100</xdr:rowOff>
    </xdr:from>
    <xdr:to>
      <xdr:col>11</xdr:col>
      <xdr:colOff>257175</xdr:colOff>
      <xdr:row>15</xdr:row>
      <xdr:rowOff>85725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5FDB0A7-D3D3-4F3A-CED5-46E9007D59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57975" y="419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20108</xdr:colOff>
      <xdr:row>1</xdr:row>
      <xdr:rowOff>115360</xdr:rowOff>
    </xdr:from>
    <xdr:to>
      <xdr:col>8</xdr:col>
      <xdr:colOff>423332</xdr:colOff>
      <xdr:row>10</xdr:row>
      <xdr:rowOff>84666</xdr:rowOff>
    </xdr:to>
    <xdr:graphicFrame macro="">
      <xdr:nvGraphicFramePr>
        <xdr:cNvPr id="2" name="Chart 1">
          <a:extLst>
            <a:ext uri="{FF2B5EF4-FFF2-40B4-BE49-F238E27FC236}">
              <a16:creationId xmlns:a16="http://schemas.microsoft.com/office/drawing/2014/main" id="{47B1B893-C2C4-4144-B2F9-C2AA199A8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254001</xdr:colOff>
      <xdr:row>1</xdr:row>
      <xdr:rowOff>126998</xdr:rowOff>
    </xdr:from>
    <xdr:to>
      <xdr:col>19</xdr:col>
      <xdr:colOff>211669</xdr:colOff>
      <xdr:row>10</xdr:row>
      <xdr:rowOff>84665</xdr:rowOff>
    </xdr:to>
    <xdr:graphicFrame macro="">
      <xdr:nvGraphicFramePr>
        <xdr:cNvPr id="3" name="Chart 2">
          <a:extLst>
            <a:ext uri="{FF2B5EF4-FFF2-40B4-BE49-F238E27FC236}">
              <a16:creationId xmlns:a16="http://schemas.microsoft.com/office/drawing/2014/main" id="{94BE0D82-D2E8-4E77-B7CE-44875C14E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31751</xdr:colOff>
      <xdr:row>12</xdr:row>
      <xdr:rowOff>74083</xdr:rowOff>
    </xdr:from>
    <xdr:to>
      <xdr:col>8</xdr:col>
      <xdr:colOff>423333</xdr:colOff>
      <xdr:row>23</xdr:row>
      <xdr:rowOff>21167</xdr:rowOff>
    </xdr:to>
    <xdr:graphicFrame macro="">
      <xdr:nvGraphicFramePr>
        <xdr:cNvPr id="4" name="Chart 3">
          <a:extLst>
            <a:ext uri="{FF2B5EF4-FFF2-40B4-BE49-F238E27FC236}">
              <a16:creationId xmlns:a16="http://schemas.microsoft.com/office/drawing/2014/main" id="{C0177758-04DA-40A5-BFF8-01B1144C0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213783</xdr:colOff>
      <xdr:row>12</xdr:row>
      <xdr:rowOff>106892</xdr:rowOff>
    </xdr:from>
    <xdr:to>
      <xdr:col>19</xdr:col>
      <xdr:colOff>169334</xdr:colOff>
      <xdr:row>22</xdr:row>
      <xdr:rowOff>158751</xdr:rowOff>
    </xdr:to>
    <xdr:graphicFrame macro="">
      <xdr:nvGraphicFramePr>
        <xdr:cNvPr id="5" name="Chart 4">
          <a:extLst>
            <a:ext uri="{FF2B5EF4-FFF2-40B4-BE49-F238E27FC236}">
              <a16:creationId xmlns:a16="http://schemas.microsoft.com/office/drawing/2014/main" id="{B66BDBD1-1938-473E-844E-C50D8F4FA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275167</xdr:colOff>
      <xdr:row>24</xdr:row>
      <xdr:rowOff>2</xdr:rowOff>
    </xdr:from>
    <xdr:to>
      <xdr:col>19</xdr:col>
      <xdr:colOff>169334</xdr:colOff>
      <xdr:row>26</xdr:row>
      <xdr:rowOff>116416</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9078AB62-85B3-45A0-87A5-9DD9F468504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99667" y="4624919"/>
              <a:ext cx="6032500" cy="497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63497</xdr:colOff>
      <xdr:row>24</xdr:row>
      <xdr:rowOff>10583</xdr:rowOff>
    </xdr:from>
    <xdr:to>
      <xdr:col>8</xdr:col>
      <xdr:colOff>402166</xdr:colOff>
      <xdr:row>26</xdr:row>
      <xdr:rowOff>116416</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110FBBFC-9463-4098-9421-78E13B28AF4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3497" y="4635500"/>
              <a:ext cx="5249336" cy="486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9</xdr:row>
      <xdr:rowOff>142875</xdr:rowOff>
    </xdr:from>
    <xdr:to>
      <xdr:col>6</xdr:col>
      <xdr:colOff>495300</xdr:colOff>
      <xdr:row>21</xdr:row>
      <xdr:rowOff>104775</xdr:rowOff>
    </xdr:to>
    <xdr:sp macro="" textlink="">
      <xdr:nvSpPr>
        <xdr:cNvPr id="2" name="TextBox 1">
          <a:extLst>
            <a:ext uri="{FF2B5EF4-FFF2-40B4-BE49-F238E27FC236}">
              <a16:creationId xmlns:a16="http://schemas.microsoft.com/office/drawing/2014/main" id="{DAD2108C-E87E-EB9A-3802-6B5AE61F0410}"/>
            </a:ext>
          </a:extLst>
        </xdr:cNvPr>
        <xdr:cNvSpPr txBox="1"/>
      </xdr:nvSpPr>
      <xdr:spPr>
        <a:xfrm>
          <a:off x="381000" y="1857375"/>
          <a:ext cx="7010400" cy="2247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“Based on the expense analysis, essential expenses mainly include Grocery, Ticket and Bills, and Medical, which are consistent every month and necessary.                                                                                                                                  However, high spending is observed in Entertainment, Shopping, Dining out, and Miscellaneous categories. For example, a large entertainment expense of ₹7,500 occurred in February and frequent shopping expenses appear across months.  </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To increase savings, Nitin should limit entertainment and shopping budgets, reduce online food orders, avoid unnecessary purchases, and track expenses more strictly. Implementing monthly spending limits and saving a fixed amount first can significantly improve savings.” </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Nitin can reduce expenses by controlling unnessery spending such as entertainment, shopping, and online food orders.</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Setting monthly limits, avoiding impulse purchases, cooking more at home, and tarcking expenses weekly will helpreduce unnecessary spending.</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By saving a fixed percentage of income immediatly after receving salary, Nitin can build consistent savings.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4.681676273147" createdVersion="8" refreshedVersion="8" minRefreshableVersion="3" recordCount="101" xr:uid="{BB79EE2F-A034-47A4-BC9F-691D7667DA55}">
  <cacheSource type="worksheet">
    <worksheetSource ref="A2:D103" sheet="Sheet4"/>
  </cacheSource>
  <cacheFields count="4">
    <cacheField name="Month" numFmtId="0">
      <sharedItems count="6">
        <s v="January"/>
        <s v="February"/>
        <s v="March"/>
        <s v="April"/>
        <s v="May"/>
        <s v="June"/>
      </sharedItems>
    </cacheField>
    <cacheField name="Category" numFmtId="0">
      <sharedItems count="7">
        <s v="Food"/>
        <s v="Doctor and Medicine"/>
        <s v="Grocery"/>
        <s v="Ticket and Bills"/>
        <s v="Shopping"/>
        <s v="Entertainment"/>
        <s v="Miscellaneous"/>
      </sharedItems>
    </cacheField>
    <cacheField name="Items" numFmtId="0">
      <sharedItems count="25">
        <s v="Dining out"/>
        <s v="Mother's doctor visit"/>
        <s v="Mother's medicine"/>
        <s v="Foodgrains and cereals"/>
        <s v="Oil and spices"/>
        <s v="Bread and bakery"/>
        <s v="Vegetables"/>
        <s v="Fruit"/>
        <s v="Railway Monthly Ticket"/>
        <s v="Shirts"/>
        <s v="Gas"/>
        <s v="Online Food order"/>
        <s v="Chips and fries"/>
        <s v="House help"/>
        <s v="Electricity bill"/>
        <s v="Movie"/>
        <s v="Miscellaneous"/>
        <s v="Snacks"/>
        <s v="Beverages"/>
        <s v="North Bengal Trip"/>
        <s v="Shoes"/>
        <s v="Outing with friends"/>
        <s v="Brother's tution fee"/>
        <s v="Tshirt and Jeans"/>
        <s v="Sister's birthday gift"/>
      </sharedItems>
    </cacheField>
    <cacheField name="Expense (INR)" numFmtId="0">
      <sharedItems containsSemiMixedTypes="0" containsString="0" containsNumber="1" containsInteger="1" minValue="120" maxValue="7500"/>
    </cacheField>
  </cacheFields>
  <extLst>
    <ext xmlns:x14="http://schemas.microsoft.com/office/spreadsheetml/2009/9/main" uri="{725AE2AE-9491-48be-B2B4-4EB974FC3084}">
      <x14:pivotCacheDefinition pivotCacheId="970332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n v="1000"/>
  </r>
  <r>
    <x v="0"/>
    <x v="1"/>
    <x v="1"/>
    <n v="1300"/>
  </r>
  <r>
    <x v="0"/>
    <x v="1"/>
    <x v="2"/>
    <n v="450"/>
  </r>
  <r>
    <x v="0"/>
    <x v="2"/>
    <x v="3"/>
    <n v="1500"/>
  </r>
  <r>
    <x v="0"/>
    <x v="2"/>
    <x v="4"/>
    <n v="800"/>
  </r>
  <r>
    <x v="0"/>
    <x v="2"/>
    <x v="5"/>
    <n v="200"/>
  </r>
  <r>
    <x v="0"/>
    <x v="2"/>
    <x v="6"/>
    <n v="1500"/>
  </r>
  <r>
    <x v="0"/>
    <x v="2"/>
    <x v="7"/>
    <n v="500"/>
  </r>
  <r>
    <x v="0"/>
    <x v="3"/>
    <x v="8"/>
    <n v="250"/>
  </r>
  <r>
    <x v="0"/>
    <x v="4"/>
    <x v="9"/>
    <n v="2000"/>
  </r>
  <r>
    <x v="0"/>
    <x v="3"/>
    <x v="10"/>
    <n v="850"/>
  </r>
  <r>
    <x v="0"/>
    <x v="0"/>
    <x v="11"/>
    <n v="640"/>
  </r>
  <r>
    <x v="0"/>
    <x v="0"/>
    <x v="12"/>
    <n v="260"/>
  </r>
  <r>
    <x v="0"/>
    <x v="3"/>
    <x v="13"/>
    <n v="1000"/>
  </r>
  <r>
    <x v="0"/>
    <x v="3"/>
    <x v="14"/>
    <n v="550"/>
  </r>
  <r>
    <x v="0"/>
    <x v="5"/>
    <x v="15"/>
    <n v="250"/>
  </r>
  <r>
    <x v="0"/>
    <x v="6"/>
    <x v="16"/>
    <n v="850"/>
  </r>
  <r>
    <x v="1"/>
    <x v="1"/>
    <x v="2"/>
    <n v="450"/>
  </r>
  <r>
    <x v="1"/>
    <x v="2"/>
    <x v="3"/>
    <n v="1100"/>
  </r>
  <r>
    <x v="1"/>
    <x v="2"/>
    <x v="17"/>
    <n v="450"/>
  </r>
  <r>
    <x v="1"/>
    <x v="2"/>
    <x v="5"/>
    <n v="300"/>
  </r>
  <r>
    <x v="1"/>
    <x v="2"/>
    <x v="18"/>
    <n v="150"/>
  </r>
  <r>
    <x v="1"/>
    <x v="2"/>
    <x v="6"/>
    <n v="1200"/>
  </r>
  <r>
    <x v="1"/>
    <x v="2"/>
    <x v="7"/>
    <n v="400"/>
  </r>
  <r>
    <x v="1"/>
    <x v="3"/>
    <x v="10"/>
    <n v="850"/>
  </r>
  <r>
    <x v="1"/>
    <x v="3"/>
    <x v="13"/>
    <n v="1000"/>
  </r>
  <r>
    <x v="1"/>
    <x v="3"/>
    <x v="14"/>
    <n v="450"/>
  </r>
  <r>
    <x v="1"/>
    <x v="3"/>
    <x v="8"/>
    <n v="350"/>
  </r>
  <r>
    <x v="1"/>
    <x v="5"/>
    <x v="19"/>
    <n v="7500"/>
  </r>
  <r>
    <x v="1"/>
    <x v="2"/>
    <x v="17"/>
    <n v="700"/>
  </r>
  <r>
    <x v="1"/>
    <x v="6"/>
    <x v="16"/>
    <n v="720"/>
  </r>
  <r>
    <x v="2"/>
    <x v="1"/>
    <x v="2"/>
    <n v="450"/>
  </r>
  <r>
    <x v="2"/>
    <x v="2"/>
    <x v="3"/>
    <n v="1560"/>
  </r>
  <r>
    <x v="2"/>
    <x v="2"/>
    <x v="4"/>
    <n v="550"/>
  </r>
  <r>
    <x v="2"/>
    <x v="2"/>
    <x v="17"/>
    <n v="650"/>
  </r>
  <r>
    <x v="2"/>
    <x v="2"/>
    <x v="17"/>
    <n v="310"/>
  </r>
  <r>
    <x v="2"/>
    <x v="2"/>
    <x v="5"/>
    <n v="220"/>
  </r>
  <r>
    <x v="2"/>
    <x v="2"/>
    <x v="6"/>
    <n v="1600"/>
  </r>
  <r>
    <x v="2"/>
    <x v="2"/>
    <x v="7"/>
    <n v="500"/>
  </r>
  <r>
    <x v="2"/>
    <x v="3"/>
    <x v="10"/>
    <n v="850"/>
  </r>
  <r>
    <x v="2"/>
    <x v="3"/>
    <x v="13"/>
    <n v="1000"/>
  </r>
  <r>
    <x v="2"/>
    <x v="3"/>
    <x v="14"/>
    <n v="550"/>
  </r>
  <r>
    <x v="2"/>
    <x v="3"/>
    <x v="8"/>
    <n v="350"/>
  </r>
  <r>
    <x v="2"/>
    <x v="5"/>
    <x v="15"/>
    <n v="500"/>
  </r>
  <r>
    <x v="2"/>
    <x v="4"/>
    <x v="20"/>
    <n v="1700"/>
  </r>
  <r>
    <x v="2"/>
    <x v="2"/>
    <x v="17"/>
    <n v="700"/>
  </r>
  <r>
    <x v="2"/>
    <x v="0"/>
    <x v="0"/>
    <n v="800"/>
  </r>
  <r>
    <x v="2"/>
    <x v="6"/>
    <x v="16"/>
    <n v="850"/>
  </r>
  <r>
    <x v="3"/>
    <x v="1"/>
    <x v="2"/>
    <n v="450"/>
  </r>
  <r>
    <x v="3"/>
    <x v="2"/>
    <x v="3"/>
    <n v="1200"/>
  </r>
  <r>
    <x v="3"/>
    <x v="2"/>
    <x v="4"/>
    <n v="640"/>
  </r>
  <r>
    <x v="3"/>
    <x v="2"/>
    <x v="5"/>
    <n v="260"/>
  </r>
  <r>
    <x v="3"/>
    <x v="2"/>
    <x v="18"/>
    <n v="270"/>
  </r>
  <r>
    <x v="3"/>
    <x v="2"/>
    <x v="17"/>
    <n v="630"/>
  </r>
  <r>
    <x v="3"/>
    <x v="2"/>
    <x v="6"/>
    <n v="1750"/>
  </r>
  <r>
    <x v="3"/>
    <x v="2"/>
    <x v="7"/>
    <n v="500"/>
  </r>
  <r>
    <x v="3"/>
    <x v="3"/>
    <x v="10"/>
    <n v="850"/>
  </r>
  <r>
    <x v="3"/>
    <x v="3"/>
    <x v="13"/>
    <n v="1000"/>
  </r>
  <r>
    <x v="3"/>
    <x v="3"/>
    <x v="14"/>
    <n v="550"/>
  </r>
  <r>
    <x v="3"/>
    <x v="3"/>
    <x v="8"/>
    <n v="350"/>
  </r>
  <r>
    <x v="3"/>
    <x v="0"/>
    <x v="11"/>
    <n v="540"/>
  </r>
  <r>
    <x v="3"/>
    <x v="2"/>
    <x v="17"/>
    <n v="210"/>
  </r>
  <r>
    <x v="3"/>
    <x v="5"/>
    <x v="15"/>
    <n v="250"/>
  </r>
  <r>
    <x v="3"/>
    <x v="0"/>
    <x v="0"/>
    <n v="850"/>
  </r>
  <r>
    <x v="3"/>
    <x v="5"/>
    <x v="21"/>
    <n v="1000"/>
  </r>
  <r>
    <x v="3"/>
    <x v="6"/>
    <x v="22"/>
    <n v="1500"/>
  </r>
  <r>
    <x v="3"/>
    <x v="6"/>
    <x v="16"/>
    <n v="2000"/>
  </r>
  <r>
    <x v="4"/>
    <x v="1"/>
    <x v="2"/>
    <n v="450"/>
  </r>
  <r>
    <x v="4"/>
    <x v="2"/>
    <x v="3"/>
    <n v="1250"/>
  </r>
  <r>
    <x v="4"/>
    <x v="2"/>
    <x v="4"/>
    <n v="450"/>
  </r>
  <r>
    <x v="4"/>
    <x v="2"/>
    <x v="5"/>
    <n v="120"/>
  </r>
  <r>
    <x v="4"/>
    <x v="2"/>
    <x v="18"/>
    <n v="190"/>
  </r>
  <r>
    <x v="4"/>
    <x v="2"/>
    <x v="17"/>
    <n v="690"/>
  </r>
  <r>
    <x v="4"/>
    <x v="2"/>
    <x v="6"/>
    <n v="1650"/>
  </r>
  <r>
    <x v="4"/>
    <x v="2"/>
    <x v="7"/>
    <n v="500"/>
  </r>
  <r>
    <x v="4"/>
    <x v="3"/>
    <x v="10"/>
    <n v="850"/>
  </r>
  <r>
    <x v="4"/>
    <x v="3"/>
    <x v="13"/>
    <n v="1000"/>
  </r>
  <r>
    <x v="4"/>
    <x v="3"/>
    <x v="14"/>
    <n v="470"/>
  </r>
  <r>
    <x v="4"/>
    <x v="3"/>
    <x v="8"/>
    <n v="350"/>
  </r>
  <r>
    <x v="4"/>
    <x v="2"/>
    <x v="17"/>
    <n v="1100"/>
  </r>
  <r>
    <x v="4"/>
    <x v="5"/>
    <x v="15"/>
    <n v="500"/>
  </r>
  <r>
    <x v="4"/>
    <x v="4"/>
    <x v="9"/>
    <n v="1500"/>
  </r>
  <r>
    <x v="4"/>
    <x v="5"/>
    <x v="21"/>
    <n v="1000"/>
  </r>
  <r>
    <x v="4"/>
    <x v="6"/>
    <x v="16"/>
    <n v="1300"/>
  </r>
  <r>
    <x v="5"/>
    <x v="1"/>
    <x v="2"/>
    <n v="450"/>
  </r>
  <r>
    <x v="5"/>
    <x v="2"/>
    <x v="18"/>
    <n v="250"/>
  </r>
  <r>
    <x v="5"/>
    <x v="2"/>
    <x v="3"/>
    <n v="1050"/>
  </r>
  <r>
    <x v="5"/>
    <x v="2"/>
    <x v="4"/>
    <n v="550"/>
  </r>
  <r>
    <x v="5"/>
    <x v="2"/>
    <x v="5"/>
    <n v="500"/>
  </r>
  <r>
    <x v="5"/>
    <x v="2"/>
    <x v="6"/>
    <n v="1690"/>
  </r>
  <r>
    <x v="5"/>
    <x v="2"/>
    <x v="7"/>
    <n v="650"/>
  </r>
  <r>
    <x v="5"/>
    <x v="3"/>
    <x v="10"/>
    <n v="850"/>
  </r>
  <r>
    <x v="5"/>
    <x v="3"/>
    <x v="13"/>
    <n v="1000"/>
  </r>
  <r>
    <x v="5"/>
    <x v="3"/>
    <x v="14"/>
    <n v="370"/>
  </r>
  <r>
    <x v="5"/>
    <x v="3"/>
    <x v="8"/>
    <n v="350"/>
  </r>
  <r>
    <x v="5"/>
    <x v="0"/>
    <x v="12"/>
    <n v="250"/>
  </r>
  <r>
    <x v="5"/>
    <x v="0"/>
    <x v="11"/>
    <n v="600"/>
  </r>
  <r>
    <x v="5"/>
    <x v="5"/>
    <x v="15"/>
    <n v="1000"/>
  </r>
  <r>
    <x v="5"/>
    <x v="4"/>
    <x v="23"/>
    <n v="2500"/>
  </r>
  <r>
    <x v="5"/>
    <x v="4"/>
    <x v="20"/>
    <n v="1000"/>
  </r>
  <r>
    <x v="5"/>
    <x v="6"/>
    <x v="24"/>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B1ED7-1229-49BF-82D6-C87773D4A5B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2:B9" firstHeaderRow="1" firstDataRow="1" firstDataCol="1"/>
  <pivotFields count="4">
    <pivotField axis="axisRow" compact="0" outline="0" showAll="0">
      <items count="7">
        <item x="0"/>
        <item x="1"/>
        <item x="2"/>
        <item x="3"/>
        <item x="4"/>
        <item x="5"/>
        <item t="default"/>
      </items>
    </pivotField>
    <pivotField compact="0" outline="0" showAll="0">
      <items count="8">
        <item x="1"/>
        <item x="5"/>
        <item x="0"/>
        <item x="2"/>
        <item x="6"/>
        <item x="4"/>
        <item x="3"/>
        <item t="default"/>
      </items>
    </pivotField>
    <pivotField compact="0" outline="0" showAll="0"/>
    <pivotField dataField="1" compact="0" outline="0" showAll="0"/>
  </pivotFields>
  <rowFields count="1">
    <field x="0"/>
  </rowFields>
  <rowItems count="7">
    <i>
      <x/>
    </i>
    <i>
      <x v="1"/>
    </i>
    <i>
      <x v="2"/>
    </i>
    <i>
      <x v="3"/>
    </i>
    <i>
      <x v="4"/>
    </i>
    <i>
      <x v="5"/>
    </i>
    <i t="grand">
      <x/>
    </i>
  </rowItems>
  <colItems count="1">
    <i/>
  </colItems>
  <dataFields count="1">
    <dataField name="Sum of Expense (INR)" fld="3" baseField="0" baseItem="0"/>
  </dataFields>
  <formats count="2">
    <format dxfId="19">
      <pivotArea dataOnly="0" labelOnly="1" outline="0" axis="axisValues" fieldPosition="0"/>
    </format>
    <format dxfId="18">
      <pivotArea dataOnly="0" labelOnly="1" outline="0" axis="axisValues" fieldPosition="0"/>
    </format>
  </formats>
  <chartFormats count="2">
    <chartFormat chart="7"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F0647-9C50-4A5E-AD4F-80E463DE45E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B11" firstHeaderRow="1" firstDataRow="1" firstDataCol="1"/>
  <pivotFields count="4">
    <pivotField compact="0" outline="0" showAll="0"/>
    <pivotField axis="axisRow" compact="0" outline="0" showAll="0" sortType="descending">
      <items count="8">
        <item x="1"/>
        <item x="5"/>
        <item x="0"/>
        <item x="2"/>
        <item x="6"/>
        <item x="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s>
  <rowFields count="1">
    <field x="1"/>
  </rowFields>
  <rowItems count="8">
    <i>
      <x v="3"/>
    </i>
    <i>
      <x v="6"/>
    </i>
    <i>
      <x v="1"/>
    </i>
    <i>
      <x v="5"/>
    </i>
    <i>
      <x v="4"/>
    </i>
    <i>
      <x v="2"/>
    </i>
    <i>
      <x/>
    </i>
    <i t="grand">
      <x/>
    </i>
  </rowItems>
  <colItems count="1">
    <i/>
  </colItems>
  <dataFields count="1">
    <dataField name="Sum of Expense (INR)" fld="3" baseField="0" baseItem="0"/>
  </dataFields>
  <conditionalFormats count="1">
    <conditionalFormat priority="3">
      <pivotAreas count="1">
        <pivotArea type="data" outline="0" collapsedLevelsAreSubtotals="1" fieldPosition="0">
          <references count="2">
            <reference field="4294967294" count="1" selected="0">
              <x v="0"/>
            </reference>
            <reference field="1" count="7" selected="0">
              <x v="0"/>
              <x v="1"/>
              <x v="2"/>
              <x v="3"/>
              <x v="4"/>
              <x v="5"/>
              <x v="6"/>
            </reference>
          </references>
        </pivotArea>
      </pivotAreas>
    </conditionalFormat>
  </conditional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96259-250A-4D62-B728-303101DCD14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2:D10" firstHeaderRow="1" firstDataRow="2" firstDataCol="1"/>
  <pivotFields count="4">
    <pivotField axis="axisRow" compact="0" outline="0" showAll="0" defaultSubtotal="0">
      <items count="6">
        <item x="0"/>
        <item x="1"/>
        <item x="2"/>
        <item x="3"/>
        <item x="4"/>
        <item x="5"/>
      </items>
    </pivotField>
    <pivotField axis="axisCol" compact="0" outline="0" showAll="0" measureFilter="1" defaultSubtotal="0">
      <items count="7">
        <item x="1"/>
        <item x="5"/>
        <item x="0"/>
        <item x="2"/>
        <item x="6"/>
        <item x="4"/>
        <item x="3"/>
      </items>
    </pivotField>
    <pivotField compact="0" outline="0" showAll="0" defaultSubtotal="0"/>
    <pivotField dataField="1" compact="0" outline="0" showAll="0" defaultSubtotal="0"/>
  </pivotFields>
  <rowFields count="1">
    <field x="0"/>
  </rowFields>
  <rowItems count="7">
    <i>
      <x/>
    </i>
    <i>
      <x v="1"/>
    </i>
    <i>
      <x v="2"/>
    </i>
    <i>
      <x v="3"/>
    </i>
    <i>
      <x v="4"/>
    </i>
    <i>
      <x v="5"/>
    </i>
    <i t="grand">
      <x/>
    </i>
  </rowItems>
  <colFields count="1">
    <field x="1"/>
  </colFields>
  <colItems count="3">
    <i>
      <x v="3"/>
    </i>
    <i>
      <x v="6"/>
    </i>
    <i t="grand">
      <x/>
    </i>
  </colItems>
  <dataFields count="1">
    <dataField name="Sum of Expense (INR)" fld="3" baseField="0" baseItem="0"/>
  </dataFields>
  <chartFormats count="2">
    <chartFormat chart="6" format="4" series="1">
      <pivotArea type="data" outline="0" fieldPosition="0">
        <references count="2">
          <reference field="4294967294" count="1" selected="0">
            <x v="0"/>
          </reference>
          <reference field="1" count="1" selected="0">
            <x v="3"/>
          </reference>
        </references>
      </pivotArea>
    </chartFormat>
    <chartFormat chart="6" format="5"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58083-57BF-4943-8AEC-3E916084830A}"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G10" firstHeaderRow="1" firstDataRow="2" firstDataCol="1" rowPageCount="1" colPageCount="1"/>
  <pivotFields count="4">
    <pivotField axis="axisRow" compact="0" outline="0" showAll="0" defaultSubtotal="0">
      <items count="6">
        <item x="0"/>
        <item x="1"/>
        <item x="2"/>
        <item x="3"/>
        <item x="4"/>
        <item x="5"/>
      </items>
    </pivotField>
    <pivotField axis="axisPage" compact="0" outline="0" multipleItemSelectionAllowed="1" showAll="0" defaultSubtotal="0">
      <items count="7">
        <item h="1" x="1"/>
        <item x="5"/>
        <item x="0"/>
        <item h="1" x="2"/>
        <item h="1" x="6"/>
        <item x="4"/>
        <item h="1" x="3"/>
      </items>
    </pivotField>
    <pivotField axis="axisCol" compact="0" outline="0" showAll="0" defaultSubtotal="0">
      <items count="25">
        <item h="1" x="18"/>
        <item h="1" x="5"/>
        <item h="1" x="22"/>
        <item h="1" x="12"/>
        <item x="0"/>
        <item h="1" x="14"/>
        <item h="1" x="3"/>
        <item h="1" x="7"/>
        <item h="1" x="10"/>
        <item h="1" x="13"/>
        <item h="1" x="16"/>
        <item h="1" x="1"/>
        <item h="1" x="2"/>
        <item x="15"/>
        <item h="1" x="19"/>
        <item h="1" x="4"/>
        <item x="11"/>
        <item h="1" x="21"/>
        <item h="1" x="8"/>
        <item x="9"/>
        <item x="20"/>
        <item h="1" x="24"/>
        <item h="1" x="17"/>
        <item h="1" x="23"/>
        <item h="1" x="6"/>
      </items>
    </pivotField>
    <pivotField dataField="1" compact="0" outline="0" showAll="0" defaultSubtotal="0"/>
  </pivotFields>
  <rowFields count="1">
    <field x="0"/>
  </rowFields>
  <rowItems count="6">
    <i>
      <x/>
    </i>
    <i>
      <x v="2"/>
    </i>
    <i>
      <x v="3"/>
    </i>
    <i>
      <x v="4"/>
    </i>
    <i>
      <x v="5"/>
    </i>
    <i t="grand">
      <x/>
    </i>
  </rowItems>
  <colFields count="1">
    <field x="2"/>
  </colFields>
  <colItems count="6">
    <i>
      <x v="4"/>
    </i>
    <i>
      <x v="13"/>
    </i>
    <i>
      <x v="16"/>
    </i>
    <i>
      <x v="19"/>
    </i>
    <i>
      <x v="20"/>
    </i>
    <i t="grand">
      <x/>
    </i>
  </colItems>
  <pageFields count="1">
    <pageField fld="1" hier="-1"/>
  </pageFields>
  <dataFields count="1">
    <dataField name="Sum of Expense (INR)" fld="3" baseField="0" baseItem="0"/>
  </dataFields>
  <chartFormats count="12">
    <chartFormat chart="0" format="6" series="1">
      <pivotArea type="data" outline="0" fieldPosition="0">
        <references count="2">
          <reference field="4294967294" count="1" selected="0">
            <x v="0"/>
          </reference>
          <reference field="2" count="1" selected="0">
            <x v="4"/>
          </reference>
        </references>
      </pivotArea>
    </chartFormat>
    <chartFormat chart="0" format="7" series="1">
      <pivotArea type="data" outline="0" fieldPosition="0">
        <references count="2">
          <reference field="4294967294" count="1" selected="0">
            <x v="0"/>
          </reference>
          <reference field="2" count="1" selected="0">
            <x v="13"/>
          </reference>
        </references>
      </pivotArea>
    </chartFormat>
    <chartFormat chart="8" format="24" series="1">
      <pivotArea type="data" outline="0" fieldPosition="0">
        <references count="2">
          <reference field="4294967294" count="1" selected="0">
            <x v="0"/>
          </reference>
          <reference field="2" count="1" selected="0">
            <x v="4"/>
          </reference>
        </references>
      </pivotArea>
    </chartFormat>
    <chartFormat chart="8" format="25" series="1">
      <pivotArea type="data" outline="0" fieldPosition="0">
        <references count="2">
          <reference field="4294967294" count="1" selected="0">
            <x v="0"/>
          </reference>
          <reference field="2" count="1" selected="0">
            <x v="13"/>
          </reference>
        </references>
      </pivotArea>
    </chartFormat>
    <chartFormat chart="8" format="26" series="1">
      <pivotArea type="data" outline="0" fieldPosition="0">
        <references count="2">
          <reference field="4294967294" count="1" selected="0">
            <x v="0"/>
          </reference>
          <reference field="2" count="1" selected="0">
            <x v="16"/>
          </reference>
        </references>
      </pivotArea>
    </chartFormat>
    <chartFormat chart="8" format="27" series="1">
      <pivotArea type="data" outline="0" fieldPosition="0">
        <references count="2">
          <reference field="4294967294" count="1" selected="0">
            <x v="0"/>
          </reference>
          <reference field="2" count="1" selected="0">
            <x v="19"/>
          </reference>
        </references>
      </pivotArea>
    </chartFormat>
    <chartFormat chart="8" format="28" series="1">
      <pivotArea type="data" outline="0" fieldPosition="0">
        <references count="2">
          <reference field="4294967294" count="1" selected="0">
            <x v="0"/>
          </reference>
          <reference field="2" count="1" selected="0">
            <x v="20"/>
          </reference>
        </references>
      </pivotArea>
    </chartFormat>
    <chartFormat chart="15" format="29" series="1">
      <pivotArea type="data" outline="0" fieldPosition="0">
        <references count="2">
          <reference field="4294967294" count="1" selected="0">
            <x v="0"/>
          </reference>
          <reference field="2" count="1" selected="0">
            <x v="4"/>
          </reference>
        </references>
      </pivotArea>
    </chartFormat>
    <chartFormat chart="15" format="30" series="1">
      <pivotArea type="data" outline="0" fieldPosition="0">
        <references count="2">
          <reference field="4294967294" count="1" selected="0">
            <x v="0"/>
          </reference>
          <reference field="2" count="1" selected="0">
            <x v="13"/>
          </reference>
        </references>
      </pivotArea>
    </chartFormat>
    <chartFormat chart="15" format="31" series="1">
      <pivotArea type="data" outline="0" fieldPosition="0">
        <references count="2">
          <reference field="4294967294" count="1" selected="0">
            <x v="0"/>
          </reference>
          <reference field="2" count="1" selected="0">
            <x v="16"/>
          </reference>
        </references>
      </pivotArea>
    </chartFormat>
    <chartFormat chart="15" format="32" series="1">
      <pivotArea type="data" outline="0" fieldPosition="0">
        <references count="2">
          <reference field="4294967294" count="1" selected="0">
            <x v="0"/>
          </reference>
          <reference field="2" count="1" selected="0">
            <x v="19"/>
          </reference>
        </references>
      </pivotArea>
    </chartFormat>
    <chartFormat chart="15" format="33" series="1">
      <pivotArea type="data" outline="0" fieldPosition="0">
        <references count="2">
          <reference field="4294967294" count="1" selected="0">
            <x v="0"/>
          </reference>
          <reference field="2"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8CD1034-2A45-478D-9483-A5568C0674E5}" sourceName="Month">
  <pivotTables>
    <pivotTable tabId="9" name="PivotTable1"/>
  </pivotTables>
  <data>
    <tabular pivotCacheId="970332724">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F5C2CA-977C-4099-9137-F16EC8BDB1B8}" sourceName="Category">
  <pivotTables>
    <pivotTable tabId="9" name="PivotTable1"/>
  </pivotTables>
  <data>
    <tabular pivotCacheId="970332724">
      <items count="7">
        <i x="1" s="1"/>
        <i x="5" s="1"/>
        <i x="0" s="1"/>
        <i x="2" s="1"/>
        <i x="6"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FF8B217-715C-4646-AF33-C2B0B83F356F}" cache="Slicer_Month" caption="Month" rowHeight="241300"/>
  <slicer name="Category" xr10:uid="{87439C50-1DEE-421C-8CF5-E8766D0E1924}"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FBCE849-C23B-4808-AAB0-59B97A39C807}" cache="Slicer_Month" caption="Month" columnCount="6" showCaption="0" rowHeight="241300"/>
  <slicer name="Category 1" xr10:uid="{F14DDBBD-0921-4195-A687-132DB8FEA05F}" cache="Slicer_Category" caption="Category" columnCount="7"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opLeftCell="B1" workbookViewId="0">
      <selection activeCell="B9" sqref="B9"/>
    </sheetView>
  </sheetViews>
  <sheetFormatPr defaultRowHeight="15" x14ac:dyDescent="0.25"/>
  <cols>
    <col min="1" max="1" width="17.7109375" customWidth="1"/>
    <col min="2" max="2" width="24" customWidth="1"/>
    <col min="3" max="3" width="27.42578125" customWidth="1"/>
    <col min="4" max="4" width="18.7109375" customWidth="1"/>
  </cols>
  <sheetData>
    <row r="1" spans="1:13" x14ac:dyDescent="0.25">
      <c r="A1" s="11" t="s">
        <v>0</v>
      </c>
      <c r="B1" s="11"/>
      <c r="C1" s="11"/>
      <c r="D1" s="11"/>
    </row>
    <row r="2" spans="1:13" x14ac:dyDescent="0.25">
      <c r="A2" s="2" t="s">
        <v>1</v>
      </c>
      <c r="B2" s="2" t="s">
        <v>2</v>
      </c>
      <c r="C2" s="2" t="s">
        <v>3</v>
      </c>
      <c r="D2" s="2" t="s">
        <v>4</v>
      </c>
    </row>
    <row r="3" spans="1:13" x14ac:dyDescent="0.25">
      <c r="A3" s="3" t="s">
        <v>5</v>
      </c>
      <c r="B3" s="1" t="s">
        <v>6</v>
      </c>
      <c r="C3" s="1" t="s">
        <v>7</v>
      </c>
      <c r="D3" s="4">
        <v>1000</v>
      </c>
    </row>
    <row r="4" spans="1:13" ht="18.75" customHeight="1" x14ac:dyDescent="0.25">
      <c r="A4" s="3" t="s">
        <v>5</v>
      </c>
      <c r="B4" s="1" t="s">
        <v>8</v>
      </c>
      <c r="C4" s="1" t="s">
        <v>9</v>
      </c>
      <c r="D4" s="4">
        <v>1300</v>
      </c>
      <c r="G4" s="12" t="s">
        <v>10</v>
      </c>
      <c r="H4" s="12"/>
      <c r="I4" s="12"/>
      <c r="J4" s="12"/>
      <c r="K4" s="12"/>
      <c r="L4" s="12"/>
      <c r="M4" s="12"/>
    </row>
    <row r="5" spans="1:13" x14ac:dyDescent="0.25">
      <c r="A5" s="3" t="s">
        <v>5</v>
      </c>
      <c r="B5" s="1" t="s">
        <v>8</v>
      </c>
      <c r="C5" s="1" t="s">
        <v>11</v>
      </c>
      <c r="D5" s="3">
        <v>450</v>
      </c>
      <c r="G5" s="12"/>
      <c r="H5" s="12"/>
      <c r="I5" s="12"/>
      <c r="J5" s="12"/>
      <c r="K5" s="12"/>
      <c r="L5" s="12"/>
      <c r="M5" s="12"/>
    </row>
    <row r="6" spans="1:13" x14ac:dyDescent="0.25">
      <c r="A6" s="3" t="s">
        <v>5</v>
      </c>
      <c r="B6" s="1" t="s">
        <v>12</v>
      </c>
      <c r="C6" s="1" t="s">
        <v>13</v>
      </c>
      <c r="D6" s="3">
        <v>1500</v>
      </c>
      <c r="G6" s="12"/>
      <c r="H6" s="12"/>
      <c r="I6" s="12"/>
      <c r="J6" s="12"/>
      <c r="K6" s="12"/>
      <c r="L6" s="12"/>
      <c r="M6" s="12"/>
    </row>
    <row r="7" spans="1:13" x14ac:dyDescent="0.25">
      <c r="A7" s="3" t="s">
        <v>5</v>
      </c>
      <c r="B7" s="1" t="s">
        <v>12</v>
      </c>
      <c r="C7" s="1" t="s">
        <v>14</v>
      </c>
      <c r="D7" s="3">
        <v>800</v>
      </c>
      <c r="G7" s="12"/>
      <c r="H7" s="12"/>
      <c r="I7" s="12"/>
      <c r="J7" s="12"/>
      <c r="K7" s="12"/>
      <c r="L7" s="12"/>
      <c r="M7" s="12"/>
    </row>
    <row r="8" spans="1:13" x14ac:dyDescent="0.25">
      <c r="A8" s="3" t="s">
        <v>5</v>
      </c>
      <c r="B8" s="1" t="s">
        <v>12</v>
      </c>
      <c r="C8" s="1" t="s">
        <v>15</v>
      </c>
      <c r="D8" s="3">
        <v>200</v>
      </c>
    </row>
    <row r="9" spans="1:13" x14ac:dyDescent="0.25">
      <c r="A9" s="3" t="s">
        <v>5</v>
      </c>
      <c r="B9" s="1" t="s">
        <v>12</v>
      </c>
      <c r="C9" s="1" t="s">
        <v>16</v>
      </c>
      <c r="D9" s="3">
        <v>1500</v>
      </c>
    </row>
    <row r="10" spans="1:13" x14ac:dyDescent="0.25">
      <c r="A10" s="3" t="s">
        <v>5</v>
      </c>
      <c r="B10" s="1" t="s">
        <v>12</v>
      </c>
      <c r="C10" s="1" t="s">
        <v>17</v>
      </c>
      <c r="D10" s="3">
        <v>500</v>
      </c>
    </row>
    <row r="11" spans="1:13" x14ac:dyDescent="0.25">
      <c r="A11" s="3" t="s">
        <v>5</v>
      </c>
      <c r="B11" s="1" t="s">
        <v>18</v>
      </c>
      <c r="C11" s="1" t="s">
        <v>19</v>
      </c>
      <c r="D11" s="3">
        <v>250</v>
      </c>
    </row>
    <row r="12" spans="1:13" x14ac:dyDescent="0.25">
      <c r="A12" s="3" t="s">
        <v>5</v>
      </c>
      <c r="B12" s="1" t="s">
        <v>20</v>
      </c>
      <c r="C12" s="1" t="s">
        <v>21</v>
      </c>
      <c r="D12" s="3">
        <v>2000</v>
      </c>
    </row>
    <row r="13" spans="1:13" x14ac:dyDescent="0.25">
      <c r="A13" s="3" t="s">
        <v>5</v>
      </c>
      <c r="B13" s="1" t="s">
        <v>18</v>
      </c>
      <c r="C13" s="1" t="s">
        <v>22</v>
      </c>
      <c r="D13" s="3">
        <v>850</v>
      </c>
    </row>
    <row r="14" spans="1:13" x14ac:dyDescent="0.25">
      <c r="A14" s="3" t="s">
        <v>5</v>
      </c>
      <c r="B14" s="1" t="s">
        <v>6</v>
      </c>
      <c r="C14" s="1" t="s">
        <v>23</v>
      </c>
      <c r="D14" s="3">
        <v>640</v>
      </c>
    </row>
    <row r="15" spans="1:13" x14ac:dyDescent="0.25">
      <c r="A15" s="3" t="s">
        <v>5</v>
      </c>
      <c r="B15" s="1" t="s">
        <v>6</v>
      </c>
      <c r="C15" s="1" t="s">
        <v>24</v>
      </c>
      <c r="D15" s="3">
        <v>260</v>
      </c>
    </row>
    <row r="16" spans="1:13" x14ac:dyDescent="0.25">
      <c r="A16" s="3" t="s">
        <v>5</v>
      </c>
      <c r="B16" s="1" t="s">
        <v>18</v>
      </c>
      <c r="C16" s="1" t="s">
        <v>25</v>
      </c>
      <c r="D16" s="3">
        <v>1000</v>
      </c>
    </row>
    <row r="17" spans="1:4" x14ac:dyDescent="0.25">
      <c r="A17" s="3" t="s">
        <v>5</v>
      </c>
      <c r="B17" s="1" t="s">
        <v>18</v>
      </c>
      <c r="C17" s="1" t="s">
        <v>26</v>
      </c>
      <c r="D17" s="3">
        <v>550</v>
      </c>
    </row>
    <row r="18" spans="1:4" x14ac:dyDescent="0.25">
      <c r="A18" s="3" t="s">
        <v>5</v>
      </c>
      <c r="B18" s="1" t="s">
        <v>27</v>
      </c>
      <c r="C18" s="1" t="s">
        <v>28</v>
      </c>
      <c r="D18" s="3">
        <v>250</v>
      </c>
    </row>
    <row r="19" spans="1:4" x14ac:dyDescent="0.25">
      <c r="A19" s="3" t="s">
        <v>5</v>
      </c>
      <c r="B19" s="1" t="s">
        <v>29</v>
      </c>
      <c r="C19" s="1" t="s">
        <v>29</v>
      </c>
      <c r="D19" s="3">
        <v>850</v>
      </c>
    </row>
    <row r="20" spans="1:4" x14ac:dyDescent="0.25">
      <c r="A20" s="3" t="s">
        <v>30</v>
      </c>
      <c r="B20" s="1" t="s">
        <v>8</v>
      </c>
      <c r="C20" s="1" t="s">
        <v>11</v>
      </c>
      <c r="D20" s="3">
        <v>450</v>
      </c>
    </row>
    <row r="21" spans="1:4" x14ac:dyDescent="0.25">
      <c r="A21" s="3" t="s">
        <v>30</v>
      </c>
      <c r="B21" s="1" t="s">
        <v>12</v>
      </c>
      <c r="C21" s="1" t="s">
        <v>13</v>
      </c>
      <c r="D21" s="3">
        <v>1100</v>
      </c>
    </row>
    <row r="22" spans="1:4" x14ac:dyDescent="0.25">
      <c r="A22" s="3" t="s">
        <v>30</v>
      </c>
      <c r="B22" s="1" t="s">
        <v>12</v>
      </c>
      <c r="C22" s="1" t="s">
        <v>31</v>
      </c>
      <c r="D22" s="3">
        <v>450</v>
      </c>
    </row>
    <row r="23" spans="1:4" x14ac:dyDescent="0.25">
      <c r="A23" s="3" t="s">
        <v>30</v>
      </c>
      <c r="B23" s="1" t="s">
        <v>12</v>
      </c>
      <c r="C23" s="1" t="s">
        <v>15</v>
      </c>
      <c r="D23" s="3">
        <v>300</v>
      </c>
    </row>
    <row r="24" spans="1:4" x14ac:dyDescent="0.25">
      <c r="A24" s="3" t="s">
        <v>30</v>
      </c>
      <c r="B24" s="1" t="s">
        <v>12</v>
      </c>
      <c r="C24" s="1" t="s">
        <v>32</v>
      </c>
      <c r="D24" s="3">
        <v>150</v>
      </c>
    </row>
    <row r="25" spans="1:4" x14ac:dyDescent="0.25">
      <c r="A25" s="3" t="s">
        <v>30</v>
      </c>
      <c r="B25" s="1" t="s">
        <v>12</v>
      </c>
      <c r="C25" s="1" t="s">
        <v>16</v>
      </c>
      <c r="D25" s="3">
        <v>1200</v>
      </c>
    </row>
    <row r="26" spans="1:4" x14ac:dyDescent="0.25">
      <c r="A26" s="3" t="s">
        <v>30</v>
      </c>
      <c r="B26" s="1" t="s">
        <v>12</v>
      </c>
      <c r="C26" s="1" t="s">
        <v>17</v>
      </c>
      <c r="D26" s="3">
        <v>400</v>
      </c>
    </row>
    <row r="27" spans="1:4" x14ac:dyDescent="0.25">
      <c r="A27" s="3" t="s">
        <v>30</v>
      </c>
      <c r="B27" s="1" t="s">
        <v>18</v>
      </c>
      <c r="C27" s="1" t="s">
        <v>22</v>
      </c>
      <c r="D27" s="3">
        <v>850</v>
      </c>
    </row>
    <row r="28" spans="1:4" x14ac:dyDescent="0.25">
      <c r="A28" s="3" t="s">
        <v>30</v>
      </c>
      <c r="B28" s="1" t="s">
        <v>18</v>
      </c>
      <c r="C28" s="1" t="s">
        <v>25</v>
      </c>
      <c r="D28" s="3">
        <v>1000</v>
      </c>
    </row>
    <row r="29" spans="1:4" x14ac:dyDescent="0.25">
      <c r="A29" s="3" t="s">
        <v>30</v>
      </c>
      <c r="B29" s="1" t="s">
        <v>18</v>
      </c>
      <c r="C29" s="1" t="s">
        <v>26</v>
      </c>
      <c r="D29" s="3">
        <v>450</v>
      </c>
    </row>
    <row r="30" spans="1:4" x14ac:dyDescent="0.25">
      <c r="A30" s="3" t="s">
        <v>30</v>
      </c>
      <c r="B30" s="1" t="s">
        <v>18</v>
      </c>
      <c r="C30" s="1" t="s">
        <v>19</v>
      </c>
      <c r="D30" s="3">
        <v>350</v>
      </c>
    </row>
    <row r="31" spans="1:4" x14ac:dyDescent="0.25">
      <c r="A31" s="3" t="s">
        <v>30</v>
      </c>
      <c r="B31" s="1" t="s">
        <v>27</v>
      </c>
      <c r="C31" s="1" t="s">
        <v>33</v>
      </c>
      <c r="D31" s="4">
        <v>7500</v>
      </c>
    </row>
    <row r="32" spans="1:4" x14ac:dyDescent="0.25">
      <c r="A32" s="3" t="s">
        <v>30</v>
      </c>
      <c r="B32" s="1" t="s">
        <v>12</v>
      </c>
      <c r="C32" s="1" t="s">
        <v>31</v>
      </c>
      <c r="D32" s="3">
        <v>700</v>
      </c>
    </row>
    <row r="33" spans="1:4" x14ac:dyDescent="0.25">
      <c r="A33" s="3" t="s">
        <v>30</v>
      </c>
      <c r="B33" s="1" t="s">
        <v>29</v>
      </c>
      <c r="C33" s="1" t="s">
        <v>29</v>
      </c>
      <c r="D33" s="3">
        <v>720</v>
      </c>
    </row>
    <row r="34" spans="1:4" x14ac:dyDescent="0.25">
      <c r="A34" s="3" t="s">
        <v>34</v>
      </c>
      <c r="B34" s="1" t="s">
        <v>8</v>
      </c>
      <c r="C34" s="1" t="s">
        <v>11</v>
      </c>
      <c r="D34" s="3">
        <v>450</v>
      </c>
    </row>
    <row r="35" spans="1:4" x14ac:dyDescent="0.25">
      <c r="A35" s="3" t="s">
        <v>34</v>
      </c>
      <c r="B35" s="1" t="s">
        <v>12</v>
      </c>
      <c r="C35" s="1" t="s">
        <v>13</v>
      </c>
      <c r="D35" s="4">
        <v>1560</v>
      </c>
    </row>
    <row r="36" spans="1:4" x14ac:dyDescent="0.25">
      <c r="A36" s="3" t="s">
        <v>34</v>
      </c>
      <c r="B36" s="1" t="s">
        <v>12</v>
      </c>
      <c r="C36" s="1" t="s">
        <v>14</v>
      </c>
      <c r="D36" s="4">
        <v>550</v>
      </c>
    </row>
    <row r="37" spans="1:4" x14ac:dyDescent="0.25">
      <c r="A37" s="3" t="s">
        <v>34</v>
      </c>
      <c r="B37" s="1" t="s">
        <v>12</v>
      </c>
      <c r="C37" s="1" t="s">
        <v>31</v>
      </c>
      <c r="D37" s="4">
        <v>650</v>
      </c>
    </row>
    <row r="38" spans="1:4" x14ac:dyDescent="0.25">
      <c r="A38" s="3" t="s">
        <v>34</v>
      </c>
      <c r="B38" s="1" t="s">
        <v>12</v>
      </c>
      <c r="C38" s="1" t="s">
        <v>31</v>
      </c>
      <c r="D38" s="4">
        <v>310</v>
      </c>
    </row>
    <row r="39" spans="1:4" x14ac:dyDescent="0.25">
      <c r="A39" s="3" t="s">
        <v>34</v>
      </c>
      <c r="B39" s="1" t="s">
        <v>12</v>
      </c>
      <c r="C39" s="1" t="s">
        <v>15</v>
      </c>
      <c r="D39" s="4">
        <v>220</v>
      </c>
    </row>
    <row r="40" spans="1:4" x14ac:dyDescent="0.25">
      <c r="A40" s="3" t="s">
        <v>34</v>
      </c>
      <c r="B40" s="1" t="s">
        <v>12</v>
      </c>
      <c r="C40" s="1" t="s">
        <v>16</v>
      </c>
      <c r="D40" s="3">
        <v>1600</v>
      </c>
    </row>
    <row r="41" spans="1:4" x14ac:dyDescent="0.25">
      <c r="A41" s="3" t="s">
        <v>34</v>
      </c>
      <c r="B41" s="1" t="s">
        <v>12</v>
      </c>
      <c r="C41" s="1" t="s">
        <v>17</v>
      </c>
      <c r="D41" s="3">
        <v>500</v>
      </c>
    </row>
    <row r="42" spans="1:4" x14ac:dyDescent="0.25">
      <c r="A42" s="3" t="s">
        <v>34</v>
      </c>
      <c r="B42" s="1" t="s">
        <v>18</v>
      </c>
      <c r="C42" s="1" t="s">
        <v>22</v>
      </c>
      <c r="D42" s="3">
        <v>850</v>
      </c>
    </row>
    <row r="43" spans="1:4" x14ac:dyDescent="0.25">
      <c r="A43" s="3" t="s">
        <v>34</v>
      </c>
      <c r="B43" s="1" t="s">
        <v>18</v>
      </c>
      <c r="C43" s="1" t="s">
        <v>25</v>
      </c>
      <c r="D43" s="3">
        <v>1000</v>
      </c>
    </row>
    <row r="44" spans="1:4" x14ac:dyDescent="0.25">
      <c r="A44" s="3" t="s">
        <v>34</v>
      </c>
      <c r="B44" s="1" t="s">
        <v>18</v>
      </c>
      <c r="C44" s="1" t="s">
        <v>26</v>
      </c>
      <c r="D44" s="3">
        <v>550</v>
      </c>
    </row>
    <row r="45" spans="1:4" x14ac:dyDescent="0.25">
      <c r="A45" s="3" t="s">
        <v>34</v>
      </c>
      <c r="B45" s="1" t="s">
        <v>18</v>
      </c>
      <c r="C45" s="1" t="s">
        <v>19</v>
      </c>
      <c r="D45" s="3">
        <v>350</v>
      </c>
    </row>
    <row r="46" spans="1:4" x14ac:dyDescent="0.25">
      <c r="A46" s="3" t="s">
        <v>34</v>
      </c>
      <c r="B46" s="1" t="s">
        <v>27</v>
      </c>
      <c r="C46" s="1" t="s">
        <v>28</v>
      </c>
      <c r="D46" s="3">
        <v>500</v>
      </c>
    </row>
    <row r="47" spans="1:4" x14ac:dyDescent="0.25">
      <c r="A47" s="3" t="s">
        <v>34</v>
      </c>
      <c r="B47" s="1" t="s">
        <v>20</v>
      </c>
      <c r="C47" s="1" t="s">
        <v>35</v>
      </c>
      <c r="D47" s="3">
        <v>1700</v>
      </c>
    </row>
    <row r="48" spans="1:4" x14ac:dyDescent="0.25">
      <c r="A48" s="3" t="s">
        <v>34</v>
      </c>
      <c r="B48" s="1" t="s">
        <v>12</v>
      </c>
      <c r="C48" s="1" t="s">
        <v>31</v>
      </c>
      <c r="D48" s="3">
        <v>700</v>
      </c>
    </row>
    <row r="49" spans="1:4" x14ac:dyDescent="0.25">
      <c r="A49" s="3" t="s">
        <v>34</v>
      </c>
      <c r="B49" s="1" t="s">
        <v>6</v>
      </c>
      <c r="C49" s="1" t="s">
        <v>7</v>
      </c>
      <c r="D49" s="3">
        <v>800</v>
      </c>
    </row>
    <row r="50" spans="1:4" x14ac:dyDescent="0.25">
      <c r="A50" s="3" t="s">
        <v>34</v>
      </c>
      <c r="B50" s="1" t="s">
        <v>29</v>
      </c>
      <c r="C50" s="1" t="s">
        <v>29</v>
      </c>
      <c r="D50" s="3">
        <v>850</v>
      </c>
    </row>
    <row r="51" spans="1:4" x14ac:dyDescent="0.25">
      <c r="A51" s="3" t="s">
        <v>36</v>
      </c>
      <c r="B51" s="1" t="s">
        <v>8</v>
      </c>
      <c r="C51" s="1" t="s">
        <v>11</v>
      </c>
      <c r="D51" s="3">
        <v>450</v>
      </c>
    </row>
    <row r="52" spans="1:4" x14ac:dyDescent="0.25">
      <c r="A52" s="3" t="s">
        <v>36</v>
      </c>
      <c r="B52" s="1" t="s">
        <v>12</v>
      </c>
      <c r="C52" s="1" t="s">
        <v>13</v>
      </c>
      <c r="D52" s="3">
        <v>1200</v>
      </c>
    </row>
    <row r="53" spans="1:4" x14ac:dyDescent="0.25">
      <c r="A53" s="3" t="s">
        <v>36</v>
      </c>
      <c r="B53" s="1" t="s">
        <v>12</v>
      </c>
      <c r="C53" s="1" t="s">
        <v>14</v>
      </c>
      <c r="D53" s="3">
        <v>640</v>
      </c>
    </row>
    <row r="54" spans="1:4" x14ac:dyDescent="0.25">
      <c r="A54" s="3" t="s">
        <v>36</v>
      </c>
      <c r="B54" s="1" t="s">
        <v>12</v>
      </c>
      <c r="C54" s="1" t="s">
        <v>15</v>
      </c>
      <c r="D54" s="3">
        <v>260</v>
      </c>
    </row>
    <row r="55" spans="1:4" x14ac:dyDescent="0.25">
      <c r="A55" s="3" t="s">
        <v>36</v>
      </c>
      <c r="B55" s="1" t="s">
        <v>12</v>
      </c>
      <c r="C55" s="1" t="s">
        <v>32</v>
      </c>
      <c r="D55" s="3">
        <v>270</v>
      </c>
    </row>
    <row r="56" spans="1:4" x14ac:dyDescent="0.25">
      <c r="A56" s="3" t="s">
        <v>36</v>
      </c>
      <c r="B56" s="1" t="s">
        <v>12</v>
      </c>
      <c r="C56" s="1" t="s">
        <v>31</v>
      </c>
      <c r="D56" s="3">
        <v>630</v>
      </c>
    </row>
    <row r="57" spans="1:4" x14ac:dyDescent="0.25">
      <c r="A57" s="3" t="s">
        <v>36</v>
      </c>
      <c r="B57" s="1" t="s">
        <v>12</v>
      </c>
      <c r="C57" s="1" t="s">
        <v>16</v>
      </c>
      <c r="D57" s="3">
        <v>1750</v>
      </c>
    </row>
    <row r="58" spans="1:4" x14ac:dyDescent="0.25">
      <c r="A58" s="3" t="s">
        <v>36</v>
      </c>
      <c r="B58" s="1" t="s">
        <v>12</v>
      </c>
      <c r="C58" s="1" t="s">
        <v>17</v>
      </c>
      <c r="D58" s="3">
        <v>500</v>
      </c>
    </row>
    <row r="59" spans="1:4" x14ac:dyDescent="0.25">
      <c r="A59" s="3" t="s">
        <v>36</v>
      </c>
      <c r="B59" s="1" t="s">
        <v>18</v>
      </c>
      <c r="C59" s="1" t="s">
        <v>22</v>
      </c>
      <c r="D59" s="3">
        <v>850</v>
      </c>
    </row>
    <row r="60" spans="1:4" x14ac:dyDescent="0.25">
      <c r="A60" s="3" t="s">
        <v>36</v>
      </c>
      <c r="B60" s="1" t="s">
        <v>18</v>
      </c>
      <c r="C60" s="1" t="s">
        <v>25</v>
      </c>
      <c r="D60" s="3">
        <v>1000</v>
      </c>
    </row>
    <row r="61" spans="1:4" x14ac:dyDescent="0.25">
      <c r="A61" s="3" t="s">
        <v>36</v>
      </c>
      <c r="B61" s="1" t="s">
        <v>18</v>
      </c>
      <c r="C61" s="1" t="s">
        <v>26</v>
      </c>
      <c r="D61" s="3">
        <v>550</v>
      </c>
    </row>
    <row r="62" spans="1:4" x14ac:dyDescent="0.25">
      <c r="A62" s="3" t="s">
        <v>36</v>
      </c>
      <c r="B62" s="1" t="s">
        <v>18</v>
      </c>
      <c r="C62" s="1" t="s">
        <v>19</v>
      </c>
      <c r="D62" s="3">
        <v>350</v>
      </c>
    </row>
    <row r="63" spans="1:4" x14ac:dyDescent="0.25">
      <c r="A63" s="3" t="s">
        <v>36</v>
      </c>
      <c r="B63" s="1" t="s">
        <v>6</v>
      </c>
      <c r="C63" s="1" t="s">
        <v>23</v>
      </c>
      <c r="D63" s="3">
        <v>540</v>
      </c>
    </row>
    <row r="64" spans="1:4" x14ac:dyDescent="0.25">
      <c r="A64" s="3" t="s">
        <v>36</v>
      </c>
      <c r="B64" s="1" t="s">
        <v>12</v>
      </c>
      <c r="C64" s="1" t="s">
        <v>31</v>
      </c>
      <c r="D64" s="3">
        <v>210</v>
      </c>
    </row>
    <row r="65" spans="1:4" x14ac:dyDescent="0.25">
      <c r="A65" s="3" t="s">
        <v>36</v>
      </c>
      <c r="B65" s="1" t="s">
        <v>27</v>
      </c>
      <c r="C65" s="1" t="s">
        <v>28</v>
      </c>
      <c r="D65" s="3">
        <v>250</v>
      </c>
    </row>
    <row r="66" spans="1:4" x14ac:dyDescent="0.25">
      <c r="A66" s="3" t="s">
        <v>36</v>
      </c>
      <c r="B66" s="1" t="s">
        <v>6</v>
      </c>
      <c r="C66" s="1" t="s">
        <v>7</v>
      </c>
      <c r="D66" s="3">
        <v>850</v>
      </c>
    </row>
    <row r="67" spans="1:4" x14ac:dyDescent="0.25">
      <c r="A67" s="3" t="s">
        <v>36</v>
      </c>
      <c r="B67" s="1" t="s">
        <v>27</v>
      </c>
      <c r="C67" s="1" t="s">
        <v>37</v>
      </c>
      <c r="D67" s="3">
        <v>1000</v>
      </c>
    </row>
    <row r="68" spans="1:4" x14ac:dyDescent="0.25">
      <c r="A68" s="3" t="s">
        <v>36</v>
      </c>
      <c r="B68" s="1" t="s">
        <v>29</v>
      </c>
      <c r="C68" s="1" t="s">
        <v>38</v>
      </c>
      <c r="D68" s="3">
        <v>1500</v>
      </c>
    </row>
    <row r="69" spans="1:4" x14ac:dyDescent="0.25">
      <c r="A69" s="3" t="s">
        <v>36</v>
      </c>
      <c r="B69" s="1" t="s">
        <v>29</v>
      </c>
      <c r="C69" s="1" t="s">
        <v>29</v>
      </c>
      <c r="D69" s="3">
        <v>2000</v>
      </c>
    </row>
    <row r="70" spans="1:4" x14ac:dyDescent="0.25">
      <c r="A70" s="3" t="s">
        <v>39</v>
      </c>
      <c r="B70" s="1" t="s">
        <v>8</v>
      </c>
      <c r="C70" s="1" t="s">
        <v>11</v>
      </c>
      <c r="D70" s="3">
        <v>450</v>
      </c>
    </row>
    <row r="71" spans="1:4" x14ac:dyDescent="0.25">
      <c r="A71" s="3" t="s">
        <v>39</v>
      </c>
      <c r="B71" s="1" t="s">
        <v>12</v>
      </c>
      <c r="C71" s="1" t="s">
        <v>13</v>
      </c>
      <c r="D71" s="3">
        <v>1250</v>
      </c>
    </row>
    <row r="72" spans="1:4" x14ac:dyDescent="0.25">
      <c r="A72" s="3" t="s">
        <v>39</v>
      </c>
      <c r="B72" s="1" t="s">
        <v>12</v>
      </c>
      <c r="C72" s="1" t="s">
        <v>14</v>
      </c>
      <c r="D72" s="3">
        <v>450</v>
      </c>
    </row>
    <row r="73" spans="1:4" x14ac:dyDescent="0.25">
      <c r="A73" s="3" t="s">
        <v>39</v>
      </c>
      <c r="B73" s="1" t="s">
        <v>12</v>
      </c>
      <c r="C73" s="1" t="s">
        <v>15</v>
      </c>
      <c r="D73" s="3">
        <v>120</v>
      </c>
    </row>
    <row r="74" spans="1:4" x14ac:dyDescent="0.25">
      <c r="A74" s="3" t="s">
        <v>39</v>
      </c>
      <c r="B74" s="1" t="s">
        <v>12</v>
      </c>
      <c r="C74" s="1" t="s">
        <v>32</v>
      </c>
      <c r="D74" s="3">
        <v>190</v>
      </c>
    </row>
    <row r="75" spans="1:4" x14ac:dyDescent="0.25">
      <c r="A75" s="3" t="s">
        <v>39</v>
      </c>
      <c r="B75" s="1" t="s">
        <v>12</v>
      </c>
      <c r="C75" s="1" t="s">
        <v>31</v>
      </c>
      <c r="D75" s="3">
        <v>690</v>
      </c>
    </row>
    <row r="76" spans="1:4" x14ac:dyDescent="0.25">
      <c r="A76" s="3" t="s">
        <v>39</v>
      </c>
      <c r="B76" s="1" t="s">
        <v>12</v>
      </c>
      <c r="C76" s="1" t="s">
        <v>16</v>
      </c>
      <c r="D76" s="3">
        <v>1650</v>
      </c>
    </row>
    <row r="77" spans="1:4" x14ac:dyDescent="0.25">
      <c r="A77" s="3" t="s">
        <v>39</v>
      </c>
      <c r="B77" s="1" t="s">
        <v>12</v>
      </c>
      <c r="C77" s="1" t="s">
        <v>17</v>
      </c>
      <c r="D77" s="3">
        <v>500</v>
      </c>
    </row>
    <row r="78" spans="1:4" x14ac:dyDescent="0.25">
      <c r="A78" s="3" t="s">
        <v>39</v>
      </c>
      <c r="B78" s="1" t="s">
        <v>18</v>
      </c>
      <c r="C78" s="1" t="s">
        <v>22</v>
      </c>
      <c r="D78" s="3">
        <v>850</v>
      </c>
    </row>
    <row r="79" spans="1:4" x14ac:dyDescent="0.25">
      <c r="A79" s="3" t="s">
        <v>39</v>
      </c>
      <c r="B79" s="1" t="s">
        <v>18</v>
      </c>
      <c r="C79" s="1" t="s">
        <v>25</v>
      </c>
      <c r="D79" s="3">
        <v>1000</v>
      </c>
    </row>
    <row r="80" spans="1:4" x14ac:dyDescent="0.25">
      <c r="A80" s="3" t="s">
        <v>39</v>
      </c>
      <c r="B80" s="1" t="s">
        <v>18</v>
      </c>
      <c r="C80" s="1" t="s">
        <v>26</v>
      </c>
      <c r="D80" s="3">
        <v>470</v>
      </c>
    </row>
    <row r="81" spans="1:4" x14ac:dyDescent="0.25">
      <c r="A81" s="3" t="s">
        <v>39</v>
      </c>
      <c r="B81" s="1" t="s">
        <v>18</v>
      </c>
      <c r="C81" s="1" t="s">
        <v>19</v>
      </c>
      <c r="D81" s="3">
        <v>350</v>
      </c>
    </row>
    <row r="82" spans="1:4" x14ac:dyDescent="0.25">
      <c r="A82" s="3" t="s">
        <v>39</v>
      </c>
      <c r="B82" s="1" t="s">
        <v>12</v>
      </c>
      <c r="C82" s="1" t="s">
        <v>31</v>
      </c>
      <c r="D82" s="3">
        <v>1100</v>
      </c>
    </row>
    <row r="83" spans="1:4" x14ac:dyDescent="0.25">
      <c r="A83" s="3" t="s">
        <v>39</v>
      </c>
      <c r="B83" s="1" t="s">
        <v>27</v>
      </c>
      <c r="C83" s="1" t="s">
        <v>28</v>
      </c>
      <c r="D83" s="3">
        <v>500</v>
      </c>
    </row>
    <row r="84" spans="1:4" x14ac:dyDescent="0.25">
      <c r="A84" s="3" t="s">
        <v>39</v>
      </c>
      <c r="B84" s="1" t="s">
        <v>20</v>
      </c>
      <c r="C84" s="1" t="s">
        <v>21</v>
      </c>
      <c r="D84" s="3">
        <v>1500</v>
      </c>
    </row>
    <row r="85" spans="1:4" x14ac:dyDescent="0.25">
      <c r="A85" s="3" t="s">
        <v>39</v>
      </c>
      <c r="B85" s="1" t="s">
        <v>27</v>
      </c>
      <c r="C85" s="1" t="s">
        <v>37</v>
      </c>
      <c r="D85" s="3">
        <v>1000</v>
      </c>
    </row>
    <row r="86" spans="1:4" x14ac:dyDescent="0.25">
      <c r="A86" s="3" t="s">
        <v>39</v>
      </c>
      <c r="B86" s="1" t="s">
        <v>29</v>
      </c>
      <c r="C86" s="1" t="s">
        <v>29</v>
      </c>
      <c r="D86" s="3">
        <v>1300</v>
      </c>
    </row>
    <row r="87" spans="1:4" x14ac:dyDescent="0.25">
      <c r="A87" s="3" t="s">
        <v>40</v>
      </c>
      <c r="B87" s="1" t="s">
        <v>8</v>
      </c>
      <c r="C87" s="1" t="s">
        <v>11</v>
      </c>
      <c r="D87" s="3">
        <v>450</v>
      </c>
    </row>
    <row r="88" spans="1:4" x14ac:dyDescent="0.25">
      <c r="A88" s="3" t="s">
        <v>40</v>
      </c>
      <c r="B88" s="1" t="s">
        <v>12</v>
      </c>
      <c r="C88" s="1" t="s">
        <v>32</v>
      </c>
      <c r="D88" s="3">
        <v>250</v>
      </c>
    </row>
    <row r="89" spans="1:4" x14ac:dyDescent="0.25">
      <c r="A89" s="3" t="s">
        <v>40</v>
      </c>
      <c r="B89" s="1" t="s">
        <v>12</v>
      </c>
      <c r="C89" s="1" t="s">
        <v>13</v>
      </c>
      <c r="D89" s="3">
        <v>1050</v>
      </c>
    </row>
    <row r="90" spans="1:4" x14ac:dyDescent="0.25">
      <c r="A90" s="3" t="s">
        <v>40</v>
      </c>
      <c r="B90" s="1" t="s">
        <v>12</v>
      </c>
      <c r="C90" s="1" t="s">
        <v>14</v>
      </c>
      <c r="D90" s="3">
        <v>550</v>
      </c>
    </row>
    <row r="91" spans="1:4" x14ac:dyDescent="0.25">
      <c r="A91" s="3" t="s">
        <v>40</v>
      </c>
      <c r="B91" s="1" t="s">
        <v>12</v>
      </c>
      <c r="C91" s="1" t="s">
        <v>15</v>
      </c>
      <c r="D91" s="3">
        <v>500</v>
      </c>
    </row>
    <row r="92" spans="1:4" x14ac:dyDescent="0.25">
      <c r="A92" s="3" t="s">
        <v>40</v>
      </c>
      <c r="B92" s="1" t="s">
        <v>12</v>
      </c>
      <c r="C92" s="1" t="s">
        <v>16</v>
      </c>
      <c r="D92" s="3">
        <v>1690</v>
      </c>
    </row>
    <row r="93" spans="1:4" x14ac:dyDescent="0.25">
      <c r="A93" s="3" t="s">
        <v>40</v>
      </c>
      <c r="B93" s="1" t="s">
        <v>12</v>
      </c>
      <c r="C93" s="1" t="s">
        <v>17</v>
      </c>
      <c r="D93" s="3">
        <v>650</v>
      </c>
    </row>
    <row r="94" spans="1:4" x14ac:dyDescent="0.25">
      <c r="A94" s="3" t="s">
        <v>40</v>
      </c>
      <c r="B94" s="1" t="s">
        <v>18</v>
      </c>
      <c r="C94" s="1" t="s">
        <v>22</v>
      </c>
      <c r="D94" s="3">
        <v>850</v>
      </c>
    </row>
    <row r="95" spans="1:4" x14ac:dyDescent="0.25">
      <c r="A95" s="3" t="s">
        <v>40</v>
      </c>
      <c r="B95" s="1" t="s">
        <v>18</v>
      </c>
      <c r="C95" s="1" t="s">
        <v>25</v>
      </c>
      <c r="D95" s="3">
        <v>1000</v>
      </c>
    </row>
    <row r="96" spans="1:4" x14ac:dyDescent="0.25">
      <c r="A96" s="3" t="s">
        <v>40</v>
      </c>
      <c r="B96" s="1" t="s">
        <v>18</v>
      </c>
      <c r="C96" s="1" t="s">
        <v>26</v>
      </c>
      <c r="D96" s="3">
        <v>370</v>
      </c>
    </row>
    <row r="97" spans="1:4" x14ac:dyDescent="0.25">
      <c r="A97" s="3" t="s">
        <v>40</v>
      </c>
      <c r="B97" s="1" t="s">
        <v>18</v>
      </c>
      <c r="C97" s="1" t="s">
        <v>19</v>
      </c>
      <c r="D97" s="3">
        <v>350</v>
      </c>
    </row>
    <row r="98" spans="1:4" x14ac:dyDescent="0.25">
      <c r="A98" s="3" t="s">
        <v>40</v>
      </c>
      <c r="B98" s="1" t="s">
        <v>6</v>
      </c>
      <c r="C98" s="1" t="s">
        <v>24</v>
      </c>
      <c r="D98" s="3">
        <v>250</v>
      </c>
    </row>
    <row r="99" spans="1:4" x14ac:dyDescent="0.25">
      <c r="A99" s="3" t="s">
        <v>40</v>
      </c>
      <c r="B99" s="1" t="s">
        <v>6</v>
      </c>
      <c r="C99" s="1" t="s">
        <v>23</v>
      </c>
      <c r="D99" s="3">
        <v>600</v>
      </c>
    </row>
    <row r="100" spans="1:4" x14ac:dyDescent="0.25">
      <c r="A100" s="3" t="s">
        <v>40</v>
      </c>
      <c r="B100" s="1" t="s">
        <v>27</v>
      </c>
      <c r="C100" s="1" t="s">
        <v>28</v>
      </c>
      <c r="D100" s="3">
        <v>1000</v>
      </c>
    </row>
    <row r="101" spans="1:4" x14ac:dyDescent="0.25">
      <c r="A101" s="3" t="s">
        <v>40</v>
      </c>
      <c r="B101" s="1" t="s">
        <v>20</v>
      </c>
      <c r="C101" s="1" t="s">
        <v>41</v>
      </c>
      <c r="D101" s="3">
        <v>2500</v>
      </c>
    </row>
    <row r="102" spans="1:4" x14ac:dyDescent="0.25">
      <c r="A102" s="3" t="s">
        <v>40</v>
      </c>
      <c r="B102" s="1" t="s">
        <v>20</v>
      </c>
      <c r="C102" s="1" t="s">
        <v>35</v>
      </c>
      <c r="D102" s="3">
        <v>1000</v>
      </c>
    </row>
    <row r="103" spans="1:4" x14ac:dyDescent="0.25">
      <c r="A103" s="3" t="s">
        <v>40</v>
      </c>
      <c r="B103" s="1" t="s">
        <v>29</v>
      </c>
      <c r="C103" s="1" t="s">
        <v>42</v>
      </c>
      <c r="D103" s="3">
        <v>500</v>
      </c>
    </row>
  </sheetData>
  <mergeCells count="2">
    <mergeCell ref="A1:D1"/>
    <mergeCell ref="G4:M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048FF-26D7-4C21-9D15-F4D79F63E757}">
  <dimension ref="A2:C9"/>
  <sheetViews>
    <sheetView workbookViewId="0">
      <selection activeCell="B7" sqref="B7"/>
    </sheetView>
  </sheetViews>
  <sheetFormatPr defaultRowHeight="15" x14ac:dyDescent="0.25"/>
  <cols>
    <col min="1" max="1" width="11.28515625" bestFit="1" customWidth="1"/>
    <col min="2" max="2" width="20.28515625" bestFit="1" customWidth="1"/>
    <col min="4" max="4" width="18.7109375" customWidth="1"/>
  </cols>
  <sheetData>
    <row r="2" spans="1:3" x14ac:dyDescent="0.25">
      <c r="A2" s="5" t="s">
        <v>1</v>
      </c>
      <c r="B2" s="14" t="s">
        <v>43</v>
      </c>
      <c r="C2" s="8"/>
    </row>
    <row r="3" spans="1:3" x14ac:dyDescent="0.25">
      <c r="A3" t="s">
        <v>5</v>
      </c>
      <c r="B3" s="13">
        <v>13900</v>
      </c>
    </row>
    <row r="4" spans="1:3" x14ac:dyDescent="0.25">
      <c r="A4" t="s">
        <v>30</v>
      </c>
      <c r="B4" s="13">
        <v>15620</v>
      </c>
    </row>
    <row r="5" spans="1:3" x14ac:dyDescent="0.25">
      <c r="A5" t="s">
        <v>34</v>
      </c>
      <c r="B5" s="13">
        <v>13140</v>
      </c>
    </row>
    <row r="6" spans="1:3" x14ac:dyDescent="0.25">
      <c r="A6" t="s">
        <v>36</v>
      </c>
      <c r="B6" s="13">
        <v>14800</v>
      </c>
    </row>
    <row r="7" spans="1:3" x14ac:dyDescent="0.25">
      <c r="A7" t="s">
        <v>39</v>
      </c>
      <c r="B7" s="13">
        <v>13370</v>
      </c>
    </row>
    <row r="8" spans="1:3" x14ac:dyDescent="0.25">
      <c r="A8" t="s">
        <v>40</v>
      </c>
      <c r="B8" s="13">
        <v>13560</v>
      </c>
    </row>
    <row r="9" spans="1:3" x14ac:dyDescent="0.25">
      <c r="A9" t="s">
        <v>44</v>
      </c>
      <c r="B9" s="13">
        <v>84390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30EA-1D5F-48A5-AC76-7D81044BB0FF}">
  <dimension ref="A3:C11"/>
  <sheetViews>
    <sheetView workbookViewId="0">
      <selection activeCell="B4" sqref="B4:B10"/>
    </sheetView>
  </sheetViews>
  <sheetFormatPr defaultRowHeight="15" x14ac:dyDescent="0.25"/>
  <cols>
    <col min="1" max="1" width="19.140625" bestFit="1" customWidth="1"/>
    <col min="2" max="2" width="19.85546875" bestFit="1" customWidth="1"/>
    <col min="5" max="5" width="36.5703125" bestFit="1" customWidth="1"/>
  </cols>
  <sheetData>
    <row r="3" spans="1:3" x14ac:dyDescent="0.25">
      <c r="A3" s="5" t="s">
        <v>2</v>
      </c>
      <c r="B3" t="s">
        <v>43</v>
      </c>
    </row>
    <row r="4" spans="1:3" x14ac:dyDescent="0.25">
      <c r="A4" t="s">
        <v>12</v>
      </c>
      <c r="B4">
        <v>30990</v>
      </c>
      <c r="C4">
        <f>IF(OR(B4=MAX(B4:B10),B4=MIN(B4:B10)),B4,"")</f>
        <v>30990</v>
      </c>
    </row>
    <row r="5" spans="1:3" ht="21" customHeight="1" x14ac:dyDescent="0.25">
      <c r="A5" t="s">
        <v>18</v>
      </c>
      <c r="B5">
        <v>16040</v>
      </c>
      <c r="C5" t="str">
        <f t="shared" ref="C5:C10" si="0">IF(OR(B5=MAX(B5:B11),B5=MIN(B5:B11)),B5,"")</f>
        <v/>
      </c>
    </row>
    <row r="6" spans="1:3" x14ac:dyDescent="0.25">
      <c r="A6" t="s">
        <v>27</v>
      </c>
      <c r="B6">
        <v>12000</v>
      </c>
      <c r="C6" t="str">
        <f t="shared" si="0"/>
        <v/>
      </c>
    </row>
    <row r="7" spans="1:3" x14ac:dyDescent="0.25">
      <c r="A7" t="s">
        <v>20</v>
      </c>
      <c r="B7">
        <v>8700</v>
      </c>
      <c r="C7" t="str">
        <f t="shared" si="0"/>
        <v/>
      </c>
    </row>
    <row r="8" spans="1:3" x14ac:dyDescent="0.25">
      <c r="A8" t="s">
        <v>29</v>
      </c>
      <c r="B8">
        <v>7720</v>
      </c>
      <c r="C8" t="str">
        <f t="shared" si="0"/>
        <v/>
      </c>
    </row>
    <row r="9" spans="1:3" x14ac:dyDescent="0.25">
      <c r="A9" t="s">
        <v>6</v>
      </c>
      <c r="B9">
        <v>4940</v>
      </c>
      <c r="C9" t="str">
        <f t="shared" si="0"/>
        <v/>
      </c>
    </row>
    <row r="10" spans="1:3" x14ac:dyDescent="0.25">
      <c r="A10" t="s">
        <v>8</v>
      </c>
      <c r="B10">
        <v>4000</v>
      </c>
      <c r="C10">
        <f t="shared" si="0"/>
        <v>4000</v>
      </c>
    </row>
    <row r="11" spans="1:3" x14ac:dyDescent="0.25">
      <c r="A11" t="s">
        <v>44</v>
      </c>
      <c r="B11">
        <v>84390</v>
      </c>
    </row>
  </sheetData>
  <conditionalFormatting pivot="1" sqref="B4:B10">
    <cfRule type="dataBar" priority="3">
      <dataBar>
        <cfvo type="min"/>
        <cfvo type="max"/>
        <color rgb="FFFFB628"/>
      </dataBar>
      <extLst>
        <ext xmlns:x14="http://schemas.microsoft.com/office/spreadsheetml/2009/9/main" uri="{B025F937-C7B1-47D3-B67F-A62EFF666E3E}">
          <x14:id>{821D368B-8B5D-4525-BA1D-21B3DB14B0FF}</x14:id>
        </ext>
      </extLst>
    </cfRule>
  </conditionalFormatting>
  <conditionalFormatting sqref="C4:C10">
    <cfRule type="dataBar" priority="2">
      <dataBar>
        <cfvo type="min"/>
        <cfvo type="max"/>
        <color rgb="FFFF555A"/>
      </dataBar>
      <extLst>
        <ext xmlns:x14="http://schemas.microsoft.com/office/spreadsheetml/2009/9/main" uri="{B025F937-C7B1-47D3-B67F-A62EFF666E3E}">
          <x14:id>{39ED27AD-16D4-4AB7-AD2C-633C7BF1EA66}</x14:id>
        </ext>
      </extLst>
    </cfRule>
  </conditionalFormatting>
  <conditionalFormatting sqref="C4:C10">
    <cfRule type="dataBar" priority="1">
      <dataBar>
        <cfvo type="min"/>
        <cfvo type="max"/>
        <color rgb="FF638EC6"/>
      </dataBar>
      <extLst>
        <ext xmlns:x14="http://schemas.microsoft.com/office/spreadsheetml/2009/9/main" uri="{B025F937-C7B1-47D3-B67F-A62EFF666E3E}">
          <x14:id>{52441B80-69CC-4217-8101-72F6418EBED4}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821D368B-8B5D-4525-BA1D-21B3DB14B0FF}">
            <x14:dataBar minLength="0" maxLength="100" border="1" negativeBarBorderColorSameAsPositive="0">
              <x14:cfvo type="autoMin"/>
              <x14:cfvo type="autoMax"/>
              <x14:borderColor rgb="FFFFB628"/>
              <x14:negativeFillColor rgb="FFFF0000"/>
              <x14:negativeBorderColor rgb="FFFF0000"/>
              <x14:axisColor rgb="FF000000"/>
            </x14:dataBar>
          </x14:cfRule>
          <xm:sqref>B4:B10</xm:sqref>
        </x14:conditionalFormatting>
        <x14:conditionalFormatting xmlns:xm="http://schemas.microsoft.com/office/excel/2006/main">
          <x14:cfRule type="dataBar" id="{39ED27AD-16D4-4AB7-AD2C-633C7BF1EA66}">
            <x14:dataBar minLength="0" maxLength="100" border="1" negativeBarBorderColorSameAsPositive="0">
              <x14:cfvo type="autoMin"/>
              <x14:cfvo type="autoMax"/>
              <x14:borderColor rgb="FFFF555A"/>
              <x14:negativeFillColor rgb="FFFF0000"/>
              <x14:negativeBorderColor rgb="FFFF0000"/>
              <x14:axisColor rgb="FF000000"/>
            </x14:dataBar>
          </x14:cfRule>
          <xm:sqref>C4:C10</xm:sqref>
        </x14:conditionalFormatting>
        <x14:conditionalFormatting xmlns:xm="http://schemas.microsoft.com/office/excel/2006/main">
          <x14:cfRule type="dataBar" id="{52441B80-69CC-4217-8101-72F6418EBED4}">
            <x14:dataBar minLength="0" maxLength="100" border="1" negativeBarBorderColorSameAsPositive="0">
              <x14:cfvo type="autoMin"/>
              <x14:cfvo type="autoMax"/>
              <x14:borderColor rgb="FF638EC6"/>
              <x14:negativeFillColor rgb="FFFF0000"/>
              <x14:negativeBorderColor rgb="FFFF0000"/>
              <x14:axisColor rgb="FF000000"/>
            </x14:dataBar>
          </x14:cfRule>
          <xm:sqref>C4:C10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7754B-55F9-4E1D-A1DD-8486952B72E9}">
  <dimension ref="E1:I1"/>
  <sheetViews>
    <sheetView showGridLines="0" tabSelected="1" zoomScale="90" zoomScaleNormal="90" workbookViewId="0">
      <selection activeCell="J15" sqref="J15"/>
    </sheetView>
  </sheetViews>
  <sheetFormatPr defaultRowHeight="15" x14ac:dyDescent="0.25"/>
  <cols>
    <col min="1" max="16384" width="9.140625" style="10"/>
  </cols>
  <sheetData>
    <row r="1" spans="5:9" ht="18.75" x14ac:dyDescent="0.3">
      <c r="E1" s="9" t="s">
        <v>50</v>
      </c>
      <c r="F1" s="9"/>
      <c r="G1" s="9"/>
      <c r="H1" s="9"/>
      <c r="I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01F8-14E1-4D2C-BB84-78572AC594AD}">
  <dimension ref="A2:D14"/>
  <sheetViews>
    <sheetView workbookViewId="0">
      <selection activeCell="A2" sqref="A2:D10"/>
    </sheetView>
  </sheetViews>
  <sheetFormatPr defaultRowHeight="15" x14ac:dyDescent="0.25"/>
  <cols>
    <col min="1" max="1" width="19.85546875" bestFit="1" customWidth="1"/>
    <col min="2" max="2" width="12" bestFit="1" customWidth="1"/>
    <col min="3" max="3" width="14.140625" customWidth="1"/>
    <col min="4" max="4" width="11.42578125" bestFit="1" customWidth="1"/>
    <col min="5" max="5" width="7.85546875" bestFit="1" customWidth="1"/>
    <col min="6" max="6" width="13.5703125" bestFit="1" customWidth="1"/>
    <col min="8" max="8" width="14.140625" bestFit="1" customWidth="1"/>
    <col min="9" max="9" width="11.42578125" bestFit="1" customWidth="1"/>
  </cols>
  <sheetData>
    <row r="2" spans="1:4" x14ac:dyDescent="0.25">
      <c r="A2" s="5" t="s">
        <v>43</v>
      </c>
      <c r="B2" s="5" t="s">
        <v>2</v>
      </c>
    </row>
    <row r="3" spans="1:4" x14ac:dyDescent="0.25">
      <c r="A3" s="5" t="s">
        <v>1</v>
      </c>
      <c r="B3" t="s">
        <v>12</v>
      </c>
      <c r="C3" t="s">
        <v>18</v>
      </c>
      <c r="D3" t="s">
        <v>44</v>
      </c>
    </row>
    <row r="4" spans="1:4" x14ac:dyDescent="0.25">
      <c r="A4" t="s">
        <v>5</v>
      </c>
      <c r="B4">
        <v>4500</v>
      </c>
      <c r="C4">
        <v>2650</v>
      </c>
      <c r="D4">
        <v>7150</v>
      </c>
    </row>
    <row r="5" spans="1:4" x14ac:dyDescent="0.25">
      <c r="A5" t="s">
        <v>30</v>
      </c>
      <c r="B5">
        <v>4300</v>
      </c>
      <c r="C5">
        <v>2650</v>
      </c>
      <c r="D5">
        <v>6950</v>
      </c>
    </row>
    <row r="6" spans="1:4" x14ac:dyDescent="0.25">
      <c r="A6" t="s">
        <v>34</v>
      </c>
      <c r="B6">
        <v>6090</v>
      </c>
      <c r="C6">
        <v>2750</v>
      </c>
      <c r="D6">
        <v>8840</v>
      </c>
    </row>
    <row r="7" spans="1:4" x14ac:dyDescent="0.25">
      <c r="A7" t="s">
        <v>36</v>
      </c>
      <c r="B7">
        <v>5460</v>
      </c>
      <c r="C7">
        <v>2750</v>
      </c>
      <c r="D7">
        <v>8210</v>
      </c>
    </row>
    <row r="8" spans="1:4" x14ac:dyDescent="0.25">
      <c r="A8" t="s">
        <v>39</v>
      </c>
      <c r="B8">
        <v>5950</v>
      </c>
      <c r="C8">
        <v>2670</v>
      </c>
      <c r="D8">
        <v>8620</v>
      </c>
    </row>
    <row r="9" spans="1:4" x14ac:dyDescent="0.25">
      <c r="A9" t="s">
        <v>40</v>
      </c>
      <c r="B9">
        <v>4690</v>
      </c>
      <c r="C9">
        <v>2570</v>
      </c>
      <c r="D9">
        <v>7260</v>
      </c>
    </row>
    <row r="10" spans="1:4" x14ac:dyDescent="0.25">
      <c r="A10" t="s">
        <v>44</v>
      </c>
      <c r="B10">
        <v>30990</v>
      </c>
      <c r="C10">
        <v>16040</v>
      </c>
      <c r="D10">
        <v>47030</v>
      </c>
    </row>
    <row r="14" spans="1:4" x14ac:dyDescent="0.25">
      <c r="C14"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77CF-5FD3-4975-BAD7-F38F139D4DEB}">
  <dimension ref="A1:G10"/>
  <sheetViews>
    <sheetView workbookViewId="0">
      <selection activeCell="B7" sqref="B7"/>
    </sheetView>
  </sheetViews>
  <sheetFormatPr defaultRowHeight="15" x14ac:dyDescent="0.25"/>
  <cols>
    <col min="1" max="1" width="19.85546875" bestFit="1" customWidth="1"/>
    <col min="2" max="2" width="18" bestFit="1" customWidth="1"/>
    <col min="3" max="3" width="6.5703125" bestFit="1" customWidth="1"/>
    <col min="4" max="4" width="11.42578125" hidden="1" customWidth="1"/>
    <col min="5" max="5" width="5.85546875" bestFit="1" customWidth="1"/>
    <col min="6" max="6" width="6.140625" bestFit="1" customWidth="1"/>
    <col min="7" max="7" width="11.42578125" bestFit="1" customWidth="1"/>
    <col min="8" max="8" width="5.85546875" bestFit="1" customWidth="1"/>
    <col min="9" max="9" width="6.140625" bestFit="1" customWidth="1"/>
    <col min="10" max="10" width="15.140625" bestFit="1" customWidth="1"/>
    <col min="11" max="11" width="11.42578125" bestFit="1" customWidth="1"/>
    <col min="12" max="12" width="13.5703125" bestFit="1" customWidth="1"/>
    <col min="13" max="13" width="19.42578125" bestFit="1" customWidth="1"/>
    <col min="14" max="14" width="17.5703125" bestFit="1" customWidth="1"/>
    <col min="15" max="15" width="6.5703125" bestFit="1" customWidth="1"/>
    <col min="16" max="16" width="16.5703125" bestFit="1" customWidth="1"/>
    <col min="17" max="17" width="13" bestFit="1" customWidth="1"/>
    <col min="18" max="18" width="17" bestFit="1" customWidth="1"/>
    <col min="19" max="19" width="18.140625" bestFit="1" customWidth="1"/>
    <col min="20" max="20" width="21.7109375" bestFit="1" customWidth="1"/>
    <col min="21" max="21" width="5.85546875" bestFit="1" customWidth="1"/>
    <col min="22" max="22" width="6.140625" bestFit="1" customWidth="1"/>
    <col min="23" max="23" width="18.7109375" bestFit="1" customWidth="1"/>
    <col min="24" max="24" width="6.85546875" bestFit="1" customWidth="1"/>
    <col min="25" max="25" width="15.140625" bestFit="1" customWidth="1"/>
    <col min="26" max="26" width="10.7109375" bestFit="1" customWidth="1"/>
    <col min="27" max="27" width="11.42578125" bestFit="1" customWidth="1"/>
  </cols>
  <sheetData>
    <row r="1" spans="1:7" x14ac:dyDescent="0.25">
      <c r="A1" s="5" t="s">
        <v>2</v>
      </c>
      <c r="B1" t="s">
        <v>45</v>
      </c>
    </row>
    <row r="3" spans="1:7" x14ac:dyDescent="0.25">
      <c r="A3" s="5" t="s">
        <v>43</v>
      </c>
      <c r="B3" s="5" t="s">
        <v>3</v>
      </c>
    </row>
    <row r="4" spans="1:7" x14ac:dyDescent="0.25">
      <c r="A4" s="5" t="s">
        <v>1</v>
      </c>
      <c r="B4" t="s">
        <v>7</v>
      </c>
      <c r="C4" t="s">
        <v>28</v>
      </c>
      <c r="D4" t="s">
        <v>23</v>
      </c>
      <c r="E4" t="s">
        <v>21</v>
      </c>
      <c r="F4" t="s">
        <v>35</v>
      </c>
      <c r="G4" t="s">
        <v>44</v>
      </c>
    </row>
    <row r="5" spans="1:7" x14ac:dyDescent="0.25">
      <c r="A5" t="s">
        <v>5</v>
      </c>
      <c r="B5">
        <v>1000</v>
      </c>
      <c r="C5">
        <v>250</v>
      </c>
      <c r="D5">
        <v>640</v>
      </c>
      <c r="E5">
        <v>2000</v>
      </c>
      <c r="G5">
        <v>3890</v>
      </c>
    </row>
    <row r="6" spans="1:7" x14ac:dyDescent="0.25">
      <c r="A6" t="s">
        <v>34</v>
      </c>
      <c r="B6">
        <v>800</v>
      </c>
      <c r="C6">
        <v>500</v>
      </c>
      <c r="F6">
        <v>1700</v>
      </c>
      <c r="G6">
        <v>3000</v>
      </c>
    </row>
    <row r="7" spans="1:7" x14ac:dyDescent="0.25">
      <c r="A7" t="s">
        <v>36</v>
      </c>
      <c r="B7">
        <v>850</v>
      </c>
      <c r="C7">
        <v>250</v>
      </c>
      <c r="D7">
        <v>540</v>
      </c>
      <c r="G7">
        <v>1640</v>
      </c>
    </row>
    <row r="8" spans="1:7" x14ac:dyDescent="0.25">
      <c r="A8" t="s">
        <v>39</v>
      </c>
      <c r="C8">
        <v>500</v>
      </c>
      <c r="E8">
        <v>1500</v>
      </c>
      <c r="G8">
        <v>2000</v>
      </c>
    </row>
    <row r="9" spans="1:7" x14ac:dyDescent="0.25">
      <c r="A9" t="s">
        <v>40</v>
      </c>
      <c r="C9">
        <v>1000</v>
      </c>
      <c r="D9">
        <v>600</v>
      </c>
      <c r="F9">
        <v>1000</v>
      </c>
      <c r="G9">
        <v>2600</v>
      </c>
    </row>
    <row r="10" spans="1:7" hidden="1" x14ac:dyDescent="0.25">
      <c r="A10" t="s">
        <v>44</v>
      </c>
      <c r="B10">
        <v>2650</v>
      </c>
      <c r="C10">
        <v>2500</v>
      </c>
      <c r="D10">
        <v>1780</v>
      </c>
      <c r="E10">
        <v>3500</v>
      </c>
      <c r="F10">
        <v>2700</v>
      </c>
      <c r="G10">
        <v>13130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C6DC-43C1-4229-BCF0-482A8DFAFFF7}">
  <dimension ref="A1:B7"/>
  <sheetViews>
    <sheetView workbookViewId="0">
      <selection activeCell="A6" sqref="A6"/>
    </sheetView>
  </sheetViews>
  <sheetFormatPr defaultRowHeight="15" x14ac:dyDescent="0.25"/>
  <cols>
    <col min="1" max="1" width="36.5703125" bestFit="1" customWidth="1"/>
    <col min="2" max="2" width="30.28515625" customWidth="1"/>
  </cols>
  <sheetData>
    <row r="1" spans="1:2" x14ac:dyDescent="0.25">
      <c r="A1" t="s">
        <v>46</v>
      </c>
    </row>
    <row r="3" spans="1:2" x14ac:dyDescent="0.25">
      <c r="A3" s="7" t="s">
        <v>47</v>
      </c>
      <c r="B3" s="7" t="s">
        <v>48</v>
      </c>
    </row>
    <row r="4" spans="1:2" x14ac:dyDescent="0.25">
      <c r="A4" t="s">
        <v>6</v>
      </c>
      <c r="B4" t="s">
        <v>27</v>
      </c>
    </row>
    <row r="5" spans="1:2" x14ac:dyDescent="0.25">
      <c r="A5" t="s">
        <v>18</v>
      </c>
      <c r="B5" t="s">
        <v>20</v>
      </c>
    </row>
    <row r="6" spans="1:2" x14ac:dyDescent="0.25">
      <c r="A6" t="s">
        <v>8</v>
      </c>
      <c r="B6" t="s">
        <v>49</v>
      </c>
    </row>
    <row r="7" spans="1:2" x14ac:dyDescent="0.25">
      <c r="A7" t="s">
        <v>12</v>
      </c>
      <c r="B7" t="s">
        <v>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Activity 1</vt:lpstr>
      <vt:lpstr>Activity 2</vt:lpstr>
      <vt:lpstr>Dashboard</vt:lpstr>
      <vt:lpstr>Activity 3</vt:lpstr>
      <vt:lpstr>Activity 4</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Anudip</dc:creator>
  <cp:keywords/>
  <dc:description/>
  <cp:lastModifiedBy>Umesh Bitla</cp:lastModifiedBy>
  <cp:revision/>
  <dcterms:created xsi:type="dcterms:W3CDTF">2022-01-18T07:14:16Z</dcterms:created>
  <dcterms:modified xsi:type="dcterms:W3CDTF">2026-01-19T12:39:44Z</dcterms:modified>
  <cp:category/>
  <cp:contentStatus/>
</cp:coreProperties>
</file>